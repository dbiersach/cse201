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veB\SciComp\Courses\cse201\admin\"/>
    </mc:Choice>
  </mc:AlternateContent>
  <xr:revisionPtr revIDLastSave="0" documentId="13_ncr:1_{4F0636FD-3B4C-4295-A82C-D1ECBBC3CA83}" xr6:coauthVersionLast="47" xr6:coauthVersionMax="47" xr10:uidLastSave="{00000000-0000-0000-0000-000000000000}"/>
  <bookViews>
    <workbookView xWindow="28680" yWindow="-120" windowWidth="29040" windowHeight="17640" xr2:uid="{C51D3FB6-BA73-4A55-BA74-D06D67DE12A2}"/>
  </bookViews>
  <sheets>
    <sheet name="Class BOM" sheetId="4" r:id="rId1"/>
    <sheet name="Build Steps" sheetId="5" r:id="rId2"/>
    <sheet name="Parts by Lab" sheetId="6" r:id="rId3"/>
    <sheet name="Kit Parts List" sheetId="7" r:id="rId4"/>
    <sheet name="Team Parts List" sheetId="9" r:id="rId5"/>
    <sheet name="Measurement Chart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50" i="4" l="1"/>
  <c r="F51" i="4"/>
  <c r="F49" i="4"/>
  <c r="F39" i="4"/>
  <c r="F33" i="4"/>
  <c r="F48" i="4"/>
  <c r="F47" i="4"/>
  <c r="F52" i="4"/>
  <c r="F28" i="4"/>
  <c r="F27" i="4"/>
  <c r="F46" i="4"/>
  <c r="F35" i="4"/>
  <c r="F29" i="4" l="1"/>
  <c r="F45" i="4"/>
  <c r="F44" i="4"/>
  <c r="F43" i="4"/>
  <c r="F42" i="4"/>
  <c r="F41" i="4"/>
  <c r="F40" i="4"/>
  <c r="F38" i="4"/>
  <c r="F37" i="4"/>
  <c r="F36" i="4"/>
  <c r="F34" i="4"/>
  <c r="F32" i="4"/>
  <c r="F31" i="4"/>
  <c r="F53" i="4" l="1"/>
  <c r="F24" i="4" l="1"/>
  <c r="F25" i="4" s="1"/>
  <c r="F21" i="4"/>
  <c r="F22" i="4" s="1"/>
  <c r="F18" i="4"/>
  <c r="F17" i="4"/>
  <c r="F14" i="4"/>
  <c r="F13" i="4"/>
  <c r="F12" i="4"/>
  <c r="F11" i="4"/>
  <c r="F10" i="4"/>
  <c r="F9" i="4"/>
  <c r="F8" i="4"/>
  <c r="F7" i="4"/>
  <c r="F6" i="4"/>
  <c r="F5" i="4"/>
  <c r="F4" i="4"/>
  <c r="F19" i="4" l="1"/>
  <c r="F15" i="4"/>
  <c r="F55" i="4" l="1"/>
  <c r="F56" i="4"/>
  <c r="F57" i="4" s="1"/>
</calcChain>
</file>

<file path=xl/sharedStrings.xml><?xml version="1.0" encoding="utf-8"?>
<sst xmlns="http://schemas.openxmlformats.org/spreadsheetml/2006/main" count="396" uniqueCount="328">
  <si>
    <t>Elenco 350 Jumper Kit</t>
  </si>
  <si>
    <t>Adafruit KB2040</t>
  </si>
  <si>
    <t>Adafruit</t>
  </si>
  <si>
    <t>SKU</t>
  </si>
  <si>
    <t>Description</t>
  </si>
  <si>
    <t>Price</t>
  </si>
  <si>
    <t>BusBoard BB1660 BreadBoard</t>
  </si>
  <si>
    <t>Qty</t>
  </si>
  <si>
    <t>Subtotal</t>
  </si>
  <si>
    <t>Seller</t>
  </si>
  <si>
    <t xml:space="preserve">MMC5603 Triple-axis Magnetometer </t>
  </si>
  <si>
    <t>DRV8833 DC/Stepper Motor Driver</t>
  </si>
  <si>
    <t>5V Electromagnet - 5 Kg Holding Force - P25/20</t>
  </si>
  <si>
    <t>STEMMA QT / Qwiic JST SH 4-Pin Cable - 400mm long</t>
  </si>
  <si>
    <t>BusBoard BB400 BreadBoard</t>
  </si>
  <si>
    <t>Grand Total:</t>
  </si>
  <si>
    <t>1N4001 Diodes (10 Pcs)</t>
  </si>
  <si>
    <t>Control Systems Engineering (CSE 201)</t>
  </si>
  <si>
    <t>Jameco</t>
  </si>
  <si>
    <t>JW350</t>
  </si>
  <si>
    <t>Elenco</t>
  </si>
  <si>
    <t>9SIADA2AG42766</t>
  </si>
  <si>
    <t>NewEgg</t>
  </si>
  <si>
    <t>Bailink USB Cable,USB C to USB A Nylon Braid, 6ft (3 Pcs)</t>
  </si>
  <si>
    <t>Sparkfun</t>
  </si>
  <si>
    <t>Flush Cutters - Xcelite</t>
  </si>
  <si>
    <t>Artech Smart Digital Multimeter - A875</t>
  </si>
  <si>
    <t>Amazon</t>
  </si>
  <si>
    <t>B09154XMGS</t>
  </si>
  <si>
    <t>AD9833 Signal Generator AITRIP (4 Pcs)</t>
  </si>
  <si>
    <t>B08R9MGSWV</t>
  </si>
  <si>
    <t>B09T2RFF1C</t>
  </si>
  <si>
    <t>HSTECH Round Double Sided Tape Heavy Duty, 1" (30 Pcs)</t>
  </si>
  <si>
    <t>B07QDXV136</t>
  </si>
  <si>
    <t>EDGELEC 56 ohm Resistor 1/2w ±1% Tolerance (100 Pcs)</t>
  </si>
  <si>
    <t>B07QDXV69F</t>
  </si>
  <si>
    <t>EDGELEC 47 ohm Resistor 1/2w  ±1% Tolerance (100 Pcs)</t>
  </si>
  <si>
    <t>B07QKBJHT7</t>
  </si>
  <si>
    <t>EDGELEC 68 ohm Resistor 1/2w ±1% Tolerance (100 Pcs)</t>
  </si>
  <si>
    <t>B07QH5PFG3</t>
  </si>
  <si>
    <t>EDGELEC 330 ohm Resistor 1/2w ±1% Tolerance (100 Pcs)</t>
  </si>
  <si>
    <t>B07QG1V4YL</t>
  </si>
  <si>
    <t>EDGELEC 1K ohm Resistor 1/2w ±1% Tolerance (100 Pcs)</t>
  </si>
  <si>
    <t>EDGELEC 10K ohm Resistor 1/2w ±1% Tolerance (100 Pcs)</t>
  </si>
  <si>
    <t>B07QJB31M7</t>
  </si>
  <si>
    <t>B07P8N8BW9</t>
  </si>
  <si>
    <t>BOJACK 15Value Ceramic Capacitor Kit (40 Pcs of 100nF)</t>
  </si>
  <si>
    <t>B07PBQXQNQ</t>
  </si>
  <si>
    <t>BOJACK 24 Value Electrolytic Capacitor Kit (40 Pcs of 10uF 25V)</t>
  </si>
  <si>
    <t>B079DC299X</t>
  </si>
  <si>
    <t xml:space="preserve">Uxcell Radial Inductor 100mH (30 Pcs) </t>
  </si>
  <si>
    <t xml:space="preserve"> NYS Tax:</t>
  </si>
  <si>
    <t>Sub Total:</t>
  </si>
  <si>
    <t>BNL Mini-Semester 2023</t>
  </si>
  <si>
    <t>B07QKC22PK</t>
  </si>
  <si>
    <t>EDGELEC 10 ohm Resistor 1/2w  ±1% Tolerance (100 Pcs)</t>
  </si>
  <si>
    <t>NPN Bipolar PN2222A Transistors (10 Pcs)</t>
  </si>
  <si>
    <t>ADS1115 16-bit Analog-to-Digital Converter (ADC)</t>
  </si>
  <si>
    <t>MCP4725 12-bit Digital-to-Analog Converter (DAC)</t>
  </si>
  <si>
    <t>B00FZPHEW2</t>
  </si>
  <si>
    <t>B073QMYKDM</t>
  </si>
  <si>
    <t>DiCUNO 450pcs (5 Colors x 90pcs) 5mm LEDs</t>
  </si>
  <si>
    <t>Hakko CHP PN-2007 Long-Nose Pliers, Serrated Jaws</t>
  </si>
  <si>
    <t>B00FZVPX10</t>
  </si>
  <si>
    <t>IRIS USA Large Plastic Clear Box (13.5"L x 5.2"W x 2.5"H) (10 pcs)</t>
  </si>
  <si>
    <t>B00FZVPWTI</t>
  </si>
  <si>
    <t>IRIS USA Medium Plastic Clear Box (5.24"L x 8.4"W x 1.98"H) (10 pcs)</t>
  </si>
  <si>
    <t>B09P8K9T38</t>
  </si>
  <si>
    <t>MEETOOT Banana to Minigrabber Cables for Multimeter 3A 1M</t>
  </si>
  <si>
    <t>B07JLLTXQ9</t>
  </si>
  <si>
    <t>GODSHARK Antistatic Bag (4 X 6 inches) Resealable (100 Pcs)</t>
  </si>
  <si>
    <t>B07QG1VL1Q</t>
  </si>
  <si>
    <t>EDGELEC 100 ohm Resistor 1/2w ±1% Tolerance (100 Pcs)</t>
  </si>
  <si>
    <t>TLV2462 Op Amp - Dual Rail-to-Rail - 2.7-6V power @ 80mA output</t>
  </si>
  <si>
    <t>Yellow(1), Orange(3)</t>
  </si>
  <si>
    <t>Yellow(4)</t>
  </si>
  <si>
    <t>Purple(2), Orange(1)</t>
  </si>
  <si>
    <t>KB2040, USB-C Cable</t>
  </si>
  <si>
    <t>Yellow(2), Orange(3)</t>
  </si>
  <si>
    <t>Brown(4)</t>
  </si>
  <si>
    <t>Grey(1), Orange(4)</t>
  </si>
  <si>
    <t>Orange(4)</t>
  </si>
  <si>
    <t>AD9833 Signal Generator AITRIP</t>
  </si>
  <si>
    <t>White(1), Blue(1), Silver(1)</t>
  </si>
  <si>
    <t>TLV2462 Op Amp. Orange(4)</t>
  </si>
  <si>
    <t>Brown(1), Purple(1), Silver(2)</t>
  </si>
  <si>
    <t>Yellow(1), Orange(1), Red(1), Silver(1)</t>
  </si>
  <si>
    <t>10k Ohm Resistor(4)</t>
  </si>
  <si>
    <t>330 Ohm Resistor, Red LED(1)</t>
  </si>
  <si>
    <t>Blue(2), Yellow(1), Orange(1)</t>
  </si>
  <si>
    <t>INA219 I2C DC Current Sensor Module AITRIP(1)</t>
  </si>
  <si>
    <t>INA219 I2C DC Current Sensor Module AITRIP (5 Pcs)</t>
  </si>
  <si>
    <t>Purple(2), Green(2)</t>
  </si>
  <si>
    <t>MCP4725 12-bit Digital-to-Analog Converter(1)</t>
  </si>
  <si>
    <t>White(2), Purple(2), Yellow(1), Orange(1)</t>
  </si>
  <si>
    <t>ADS1115 16-bit Analog-to-Digital Converter(1)</t>
  </si>
  <si>
    <t>Yellow(1), Orange(2)</t>
  </si>
  <si>
    <t>NPN Bipolar PN2222A Transistor(1)</t>
  </si>
  <si>
    <t>47 Ohm(1), 56 Ohm(1), 68 Ohm(1), 330 Ohm(1) Resistors</t>
  </si>
  <si>
    <t>At 56 Ohm Resistor</t>
  </si>
  <si>
    <t>Yellow(1), Red(1), Blue(1), Black(1) Jumper Wires {at 47 Ohm}</t>
  </si>
  <si>
    <t>At 68 Ohm Resistor</t>
  </si>
  <si>
    <t>Green(1), Orange(1), Red(2)</t>
  </si>
  <si>
    <t>1N4001 Diode(1)</t>
  </si>
  <si>
    <t>10 Ohm Resistor(1)</t>
  </si>
  <si>
    <t>Green(1), Yellow(2), Red(1)</t>
  </si>
  <si>
    <t>1K Ohm Resistor(2)</t>
  </si>
  <si>
    <t>Red(1), Blue(1), Black(1) Jumper Wires</t>
  </si>
  <si>
    <t>Yellow(1), Red(1)</t>
  </si>
  <si>
    <t>10 Ohm(1), 100 Ohm(1) Resistors</t>
  </si>
  <si>
    <t>100 nF Ceramic Capacitor(1)</t>
  </si>
  <si>
    <t>100 mH Radial Inductor(1)</t>
  </si>
  <si>
    <t>Yellow(1), Green(1) Jumper Wires</t>
  </si>
  <si>
    <t>Brown</t>
  </si>
  <si>
    <t>White</t>
  </si>
  <si>
    <t>Gray</t>
  </si>
  <si>
    <t>Purple</t>
  </si>
  <si>
    <t>Blue</t>
  </si>
  <si>
    <t>Green</t>
  </si>
  <si>
    <t>Yellow</t>
  </si>
  <si>
    <t>Orange</t>
  </si>
  <si>
    <t>Red</t>
  </si>
  <si>
    <t>Silver</t>
  </si>
  <si>
    <t>Black</t>
  </si>
  <si>
    <t>Resistors</t>
  </si>
  <si>
    <t>10 ohm</t>
  </si>
  <si>
    <t>47 ohm</t>
  </si>
  <si>
    <t>56 ohm</t>
  </si>
  <si>
    <t>68 ohm</t>
  </si>
  <si>
    <t>100 ohm</t>
  </si>
  <si>
    <t>330 ohm</t>
  </si>
  <si>
    <t>1K ohm</t>
  </si>
  <si>
    <t>10K ohm</t>
  </si>
  <si>
    <t>Capacitors</t>
  </si>
  <si>
    <t>100nF Ceramic</t>
  </si>
  <si>
    <t>10uF Electrolytic</t>
  </si>
  <si>
    <t>Inductors</t>
  </si>
  <si>
    <t>100mH Radial</t>
  </si>
  <si>
    <t>RED 5mm</t>
  </si>
  <si>
    <t>Adafruit Boards</t>
  </si>
  <si>
    <t>KB2040</t>
  </si>
  <si>
    <t>INA219</t>
  </si>
  <si>
    <t>MCP4725</t>
  </si>
  <si>
    <t>AITRIP Boards</t>
  </si>
  <si>
    <t>AD9833</t>
  </si>
  <si>
    <t>MMC5603</t>
  </si>
  <si>
    <t>ADS1115</t>
  </si>
  <si>
    <t xml:space="preserve">DRV8833 </t>
  </si>
  <si>
    <t>Diodes</t>
  </si>
  <si>
    <t>LEDs</t>
  </si>
  <si>
    <t xml:space="preserve">1N4001 </t>
  </si>
  <si>
    <t>Transistors</t>
  </si>
  <si>
    <t xml:space="preserve">PN2222A </t>
  </si>
  <si>
    <t>Op Amps</t>
  </si>
  <si>
    <t xml:space="preserve">TLV2462 </t>
  </si>
  <si>
    <t>Cables</t>
  </si>
  <si>
    <t>QT Cable (400m)</t>
  </si>
  <si>
    <t>USB-C to USB-A</t>
  </si>
  <si>
    <t>Electromagnets</t>
  </si>
  <si>
    <t>rc_decay</t>
  </si>
  <si>
    <t>sig_gen</t>
  </si>
  <si>
    <t>op_amp</t>
  </si>
  <si>
    <t>ohms_law</t>
  </si>
  <si>
    <t>diode_ivcurve</t>
  </si>
  <si>
    <t>bjt_amplification</t>
  </si>
  <si>
    <t>rlc_resonance</t>
  </si>
  <si>
    <t>biot_savart</t>
  </si>
  <si>
    <t>5V ElecMag</t>
  </si>
  <si>
    <t>Breadboards</t>
  </si>
  <si>
    <t>BusBoard BB830</t>
  </si>
  <si>
    <t>BusBoard BB400</t>
  </si>
  <si>
    <t>Brown(2), White(1), Green(1), Yellow(1), Orange(1)</t>
  </si>
  <si>
    <t>Blue(1), Orange(1), 1K Ohm Resistor(1)</t>
  </si>
  <si>
    <t>KB2040(1), Qwiic/STEMMA-QT Cable(1)</t>
  </si>
  <si>
    <t>DRV8833 DC/Stepper Motor Driver(1)</t>
  </si>
  <si>
    <t>MMC5603 Magnetometer, 5V Electromagnet</t>
  </si>
  <si>
    <t>Flexible Jumper Wires</t>
  </si>
  <si>
    <t>Electromagnet</t>
  </si>
  <si>
    <t>Operational Amplifier</t>
  </si>
  <si>
    <t>LED</t>
  </si>
  <si>
    <t>Signal Generator</t>
  </si>
  <si>
    <t>Current Sensor</t>
  </si>
  <si>
    <t>Microcontroller</t>
  </si>
  <si>
    <t>Digital-to-Analog Converter</t>
  </si>
  <si>
    <t xml:space="preserve">Analog-to-Digital Converter </t>
  </si>
  <si>
    <t>3-Axis Magnetometer</t>
  </si>
  <si>
    <t>DC/Stepper Motor Driver</t>
  </si>
  <si>
    <t>Resistors (1/2W, 1% Tol)</t>
  </si>
  <si>
    <t>Item Type</t>
  </si>
  <si>
    <t>Item Model &amp; Counts</t>
  </si>
  <si>
    <t>Diode</t>
  </si>
  <si>
    <r>
      <t>PN2222A</t>
    </r>
    <r>
      <rPr>
        <b/>
        <sz val="11"/>
        <color theme="1"/>
        <rFont val="Calibri"/>
        <family val="2"/>
        <scheme val="minor"/>
      </rPr>
      <t>(2)</t>
    </r>
  </si>
  <si>
    <t>Inductor</t>
  </si>
  <si>
    <t>B09KGXTVBR</t>
  </si>
  <si>
    <t>HiLetgo LCR-T7 LCR, Diode, Transistor Multifunction Tester</t>
  </si>
  <si>
    <t>B08M5GNY47</t>
  </si>
  <si>
    <t>Design</t>
  </si>
  <si>
    <t>Actual</t>
  </si>
  <si>
    <t>100 nF</t>
  </si>
  <si>
    <t>10 uF</t>
  </si>
  <si>
    <t>100 mH</t>
  </si>
  <si>
    <t>Resistor 01</t>
  </si>
  <si>
    <t>10 Ohm</t>
  </si>
  <si>
    <t>Resistor 02</t>
  </si>
  <si>
    <t>Resistor 03</t>
  </si>
  <si>
    <t>Resistor 04</t>
  </si>
  <si>
    <t>47 Ohm</t>
  </si>
  <si>
    <t>Resistor 05</t>
  </si>
  <si>
    <t>56 Ohm</t>
  </si>
  <si>
    <t>Resistor 06</t>
  </si>
  <si>
    <t>68 Ohm</t>
  </si>
  <si>
    <t>Resistor 07</t>
  </si>
  <si>
    <t>100 Ohm</t>
  </si>
  <si>
    <t>Resistor 08</t>
  </si>
  <si>
    <t>330 Ohm</t>
  </si>
  <si>
    <t>Resistor 09</t>
  </si>
  <si>
    <t>Resistor 10</t>
  </si>
  <si>
    <t>1K Ohm</t>
  </si>
  <si>
    <t>Resistor 11</t>
  </si>
  <si>
    <t>Resistor 12</t>
  </si>
  <si>
    <t>Resistor 13</t>
  </si>
  <si>
    <t>10K Ohm</t>
  </si>
  <si>
    <t>Resistor 14</t>
  </si>
  <si>
    <t>Resistor 15</t>
  </si>
  <si>
    <t>Resistor 16</t>
  </si>
  <si>
    <t>700 mV</t>
  </si>
  <si>
    <t>Inductor (Radial)</t>
  </si>
  <si>
    <t>670 mV</t>
  </si>
  <si>
    <t>700 mv</t>
  </si>
  <si>
    <t>Diode (1N4001) - Vf</t>
  </si>
  <si>
    <t>Transistor 1 (BJT-NPN) - hFE</t>
  </si>
  <si>
    <t>Transistor 1 (BJT-NPN) - Vbe</t>
  </si>
  <si>
    <t>Transistor 2 (BJT-NPN) - Vbe</t>
  </si>
  <si>
    <t>Capacitor 1  (Ceramic)</t>
  </si>
  <si>
    <t>Capacitor 2  (Electrolytic)</t>
  </si>
  <si>
    <t>Transistor 2 (BJT-NPN) - hFE</t>
  </si>
  <si>
    <t>Digital Multimeter (DMM)</t>
  </si>
  <si>
    <r>
      <t xml:space="preserve">Artech Smart Digital Multimeter - A875 </t>
    </r>
    <r>
      <rPr>
        <b/>
        <sz val="11"/>
        <color theme="1"/>
        <rFont val="Calibri"/>
        <family val="2"/>
        <scheme val="minor"/>
      </rPr>
      <t>(1)</t>
    </r>
  </si>
  <si>
    <t>Multimeter Test Lead (Red)</t>
  </si>
  <si>
    <r>
      <t xml:space="preserve">MEETOOT Banana to Minigrabber 4MM </t>
    </r>
    <r>
      <rPr>
        <b/>
        <sz val="11"/>
        <color theme="1"/>
        <rFont val="Calibri"/>
        <family val="2"/>
        <scheme val="minor"/>
      </rPr>
      <t>(1)</t>
    </r>
  </si>
  <si>
    <t>Multimeter Test Lead (Black)</t>
  </si>
  <si>
    <t>Multifunction Tester (LCR/Diode/Transistor/IR)</t>
  </si>
  <si>
    <r>
      <t>HiLetgo LCR-T7  Multifunction Tester</t>
    </r>
    <r>
      <rPr>
        <b/>
        <sz val="11"/>
        <color theme="1"/>
        <rFont val="Calibri"/>
        <family val="2"/>
        <scheme val="minor"/>
      </rPr>
      <t xml:space="preserve"> (1)</t>
    </r>
  </si>
  <si>
    <t>Multifunction Tester Charging Cable (White)</t>
  </si>
  <si>
    <r>
      <t xml:space="preserve">USB A to USB Mini </t>
    </r>
    <r>
      <rPr>
        <b/>
        <sz val="11"/>
        <color theme="1"/>
        <rFont val="Calibri"/>
        <family val="2"/>
        <scheme val="minor"/>
      </rPr>
      <t>(1)</t>
    </r>
  </si>
  <si>
    <r>
      <t xml:space="preserve">Xcelite Flush Cutters </t>
    </r>
    <r>
      <rPr>
        <b/>
        <sz val="11"/>
        <color theme="1"/>
        <rFont val="Calibri"/>
        <family val="2"/>
        <scheme val="minor"/>
      </rPr>
      <t>(1)</t>
    </r>
  </si>
  <si>
    <t>Wire Snips (Blue)</t>
  </si>
  <si>
    <t>Needle Nose Pliers (Red)</t>
  </si>
  <si>
    <r>
      <t xml:space="preserve">Hakko CHP PN-2007 Serrated Jaws </t>
    </r>
    <r>
      <rPr>
        <b/>
        <sz val="11"/>
        <color theme="1"/>
        <rFont val="Calibri"/>
        <family val="2"/>
        <scheme val="minor"/>
      </rPr>
      <t>(1)</t>
    </r>
  </si>
  <si>
    <t>Student Name: _________________</t>
  </si>
  <si>
    <t>Measurements</t>
  </si>
  <si>
    <t xml:space="preserve">     Kit #: __________</t>
  </si>
  <si>
    <t>Component</t>
  </si>
  <si>
    <t>Part II: Use Multifunction Tester or Digital Multimeter</t>
  </si>
  <si>
    <t>Part I: Use Multifunction Tester Only</t>
  </si>
  <si>
    <t>Breadboarding wire bundle</t>
  </si>
  <si>
    <t>Goupchn Mini Grabber  Hooks to Breadboard Male Jumper (2 Pcs)</t>
  </si>
  <si>
    <t>Metal Straight Wires (Student Wire Kit)</t>
  </si>
  <si>
    <t>Step 01</t>
  </si>
  <si>
    <t>Step 02</t>
  </si>
  <si>
    <t>Step 03</t>
  </si>
  <si>
    <t>Step 04</t>
  </si>
  <si>
    <t>10k Ohm Resistor, 10uF Capacitor</t>
  </si>
  <si>
    <t>Step 05</t>
  </si>
  <si>
    <t>Step 06</t>
  </si>
  <si>
    <t>Step 07</t>
  </si>
  <si>
    <t>Step 08</t>
  </si>
  <si>
    <t>Step 09</t>
  </si>
  <si>
    <t>Step 10</t>
  </si>
  <si>
    <t>Step 11</t>
  </si>
  <si>
    <t>Step 12</t>
  </si>
  <si>
    <t>Brown(1), Gray(1), Green(1), Yellow(1)</t>
  </si>
  <si>
    <t>Step 13</t>
  </si>
  <si>
    <t>Step 14</t>
  </si>
  <si>
    <t>Step 15</t>
  </si>
  <si>
    <t>Step 16</t>
  </si>
  <si>
    <t>Step 17</t>
  </si>
  <si>
    <t>Step 18</t>
  </si>
  <si>
    <t>Brown(2), White(1), Purple(1), Orange(1)</t>
  </si>
  <si>
    <t>Step 19</t>
  </si>
  <si>
    <t>Step 20</t>
  </si>
  <si>
    <t>Step 21</t>
  </si>
  <si>
    <t>Step 22</t>
  </si>
  <si>
    <t>Step 23</t>
  </si>
  <si>
    <t>Step 24</t>
  </si>
  <si>
    <t>Step 25</t>
  </si>
  <si>
    <t>Step 26</t>
  </si>
  <si>
    <t>Step 27</t>
  </si>
  <si>
    <t>Step 28</t>
  </si>
  <si>
    <t>Step 28a</t>
  </si>
  <si>
    <t>Step 28b</t>
  </si>
  <si>
    <t>Step 28c</t>
  </si>
  <si>
    <t>Step 29</t>
  </si>
  <si>
    <t>Step 30</t>
  </si>
  <si>
    <t>Step 31</t>
  </si>
  <si>
    <t>Step 31a</t>
  </si>
  <si>
    <t>Step 32</t>
  </si>
  <si>
    <t>Step 33</t>
  </si>
  <si>
    <t>Step 34</t>
  </si>
  <si>
    <t>Step 34a</t>
  </si>
  <si>
    <t>Step 35</t>
  </si>
  <si>
    <t>Step 36</t>
  </si>
  <si>
    <t>Step 37</t>
  </si>
  <si>
    <t>Step 38</t>
  </si>
  <si>
    <t>Step 38a</t>
  </si>
  <si>
    <t>Step 39</t>
  </si>
  <si>
    <t>Step 40</t>
  </si>
  <si>
    <t>Step 41</t>
  </si>
  <si>
    <t>Step 42</t>
  </si>
  <si>
    <t>Step 43</t>
  </si>
  <si>
    <t>Step 44</t>
  </si>
  <si>
    <r>
      <t>BB830</t>
    </r>
    <r>
      <rPr>
        <b/>
        <sz val="11"/>
        <color theme="1"/>
        <rFont val="Calibri"/>
        <family val="2"/>
        <scheme val="minor"/>
      </rPr>
      <t>(1)</t>
    </r>
    <r>
      <rPr>
        <sz val="11"/>
        <color theme="1"/>
        <rFont val="Calibri"/>
        <family val="2"/>
        <scheme val="minor"/>
      </rPr>
      <t>, BB400</t>
    </r>
    <r>
      <rPr>
        <b/>
        <sz val="11"/>
        <color theme="1"/>
        <rFont val="Calibri"/>
        <family val="2"/>
        <scheme val="minor"/>
      </rPr>
      <t>(1)</t>
    </r>
  </si>
  <si>
    <r>
      <t>Red</t>
    </r>
    <r>
      <rPr>
        <b/>
        <sz val="11"/>
        <color theme="1"/>
        <rFont val="Calibri"/>
        <family val="2"/>
        <scheme val="minor"/>
      </rPr>
      <t>(1)</t>
    </r>
    <r>
      <rPr>
        <sz val="11"/>
        <color theme="1"/>
        <rFont val="Calibri"/>
        <family val="2"/>
        <scheme val="minor"/>
      </rPr>
      <t>,Black</t>
    </r>
    <r>
      <rPr>
        <b/>
        <sz val="11"/>
        <color theme="1"/>
        <rFont val="Calibri"/>
        <family val="2"/>
        <scheme val="minor"/>
      </rPr>
      <t>(1)</t>
    </r>
    <r>
      <rPr>
        <sz val="11"/>
        <color theme="1"/>
        <rFont val="Calibri"/>
        <family val="2"/>
        <scheme val="minor"/>
      </rPr>
      <t>, Blue</t>
    </r>
    <r>
      <rPr>
        <b/>
        <sz val="11"/>
        <color theme="1"/>
        <rFont val="Calibri"/>
        <family val="2"/>
        <scheme val="minor"/>
      </rPr>
      <t>(1)</t>
    </r>
    <r>
      <rPr>
        <sz val="11"/>
        <color theme="1"/>
        <rFont val="Calibri"/>
        <family val="2"/>
        <scheme val="minor"/>
      </rPr>
      <t>, Yellow</t>
    </r>
    <r>
      <rPr>
        <b/>
        <sz val="11"/>
        <color theme="1"/>
        <rFont val="Calibri"/>
        <family val="2"/>
        <scheme val="minor"/>
      </rPr>
      <t>(1)</t>
    </r>
    <r>
      <rPr>
        <sz val="11"/>
        <color theme="1"/>
        <rFont val="Calibri"/>
        <family val="2"/>
        <scheme val="minor"/>
      </rPr>
      <t>, Green</t>
    </r>
    <r>
      <rPr>
        <b/>
        <sz val="11"/>
        <color theme="1"/>
        <rFont val="Calibri"/>
        <family val="2"/>
        <scheme val="minor"/>
      </rPr>
      <t>(1)</t>
    </r>
  </si>
  <si>
    <r>
      <t>USB-C to USB-A</t>
    </r>
    <r>
      <rPr>
        <b/>
        <sz val="11"/>
        <color theme="1"/>
        <rFont val="Calibri"/>
        <family val="2"/>
        <scheme val="minor"/>
      </rPr>
      <t>(1)</t>
    </r>
    <r>
      <rPr>
        <sz val="11"/>
        <color theme="1"/>
        <rFont val="Calibri"/>
        <family val="2"/>
        <scheme val="minor"/>
      </rPr>
      <t>, Qwiic/Stemm QT Cable</t>
    </r>
    <r>
      <rPr>
        <b/>
        <sz val="11"/>
        <color theme="1"/>
        <rFont val="Calibri"/>
        <family val="2"/>
        <scheme val="minor"/>
      </rPr>
      <t>(1)</t>
    </r>
  </si>
  <si>
    <r>
      <t>5V</t>
    </r>
    <r>
      <rPr>
        <b/>
        <sz val="11"/>
        <color theme="1"/>
        <rFont val="Calibri"/>
        <family val="2"/>
        <scheme val="minor"/>
      </rPr>
      <t>(1)</t>
    </r>
  </si>
  <si>
    <r>
      <t>Adafruit MMC5603</t>
    </r>
    <r>
      <rPr>
        <b/>
        <sz val="11"/>
        <color theme="1"/>
        <rFont val="Calibri"/>
        <family val="2"/>
        <scheme val="minor"/>
      </rPr>
      <t>(1)</t>
    </r>
  </si>
  <si>
    <r>
      <t>AITRIP AD9833</t>
    </r>
    <r>
      <rPr>
        <b/>
        <sz val="11"/>
        <color theme="1"/>
        <rFont val="Calibri"/>
        <family val="2"/>
        <scheme val="minor"/>
      </rPr>
      <t>(1)</t>
    </r>
  </si>
  <si>
    <r>
      <t>AITRIP INA219</t>
    </r>
    <r>
      <rPr>
        <b/>
        <sz val="11"/>
        <color theme="1"/>
        <rFont val="Calibri"/>
        <family val="2"/>
        <scheme val="minor"/>
      </rPr>
      <t>(1)</t>
    </r>
  </si>
  <si>
    <r>
      <t>Adafruit KB2040</t>
    </r>
    <r>
      <rPr>
        <b/>
        <sz val="11"/>
        <color theme="1"/>
        <rFont val="Calibri"/>
        <family val="2"/>
        <scheme val="minor"/>
      </rPr>
      <t>(1)</t>
    </r>
  </si>
  <si>
    <r>
      <t>Adafruit MCP4725</t>
    </r>
    <r>
      <rPr>
        <b/>
        <sz val="11"/>
        <color theme="1"/>
        <rFont val="Calibri"/>
        <family val="2"/>
        <scheme val="minor"/>
      </rPr>
      <t>(1)</t>
    </r>
  </si>
  <si>
    <r>
      <t>Adafruit ADS1115</t>
    </r>
    <r>
      <rPr>
        <b/>
        <sz val="11"/>
        <color theme="1"/>
        <rFont val="Calibri"/>
        <family val="2"/>
        <scheme val="minor"/>
      </rPr>
      <t>(1)</t>
    </r>
  </si>
  <si>
    <r>
      <t>Adafruit DRV8833</t>
    </r>
    <r>
      <rPr>
        <b/>
        <sz val="11"/>
        <color theme="1"/>
        <rFont val="Calibri"/>
        <family val="2"/>
        <scheme val="minor"/>
      </rPr>
      <t>(1)</t>
    </r>
  </si>
  <si>
    <r>
      <t>TLV2462</t>
    </r>
    <r>
      <rPr>
        <b/>
        <sz val="11"/>
        <color theme="1"/>
        <rFont val="Calibri"/>
        <family val="2"/>
        <scheme val="minor"/>
      </rPr>
      <t>(1)</t>
    </r>
  </si>
  <si>
    <r>
      <t>Red 5V 5mm</t>
    </r>
    <r>
      <rPr>
        <b/>
        <sz val="11"/>
        <color theme="1"/>
        <rFont val="Calibri"/>
        <family val="2"/>
        <scheme val="minor"/>
      </rPr>
      <t>(1)</t>
    </r>
  </si>
  <si>
    <r>
      <t>1N4001</t>
    </r>
    <r>
      <rPr>
        <b/>
        <sz val="11"/>
        <color theme="1"/>
        <rFont val="Calibri"/>
        <family val="2"/>
        <scheme val="minor"/>
      </rPr>
      <t>(1)</t>
    </r>
  </si>
  <si>
    <r>
      <t>100nF Ceramic</t>
    </r>
    <r>
      <rPr>
        <b/>
        <sz val="11"/>
        <color theme="1"/>
        <rFont val="Calibri"/>
        <family val="2"/>
        <scheme val="minor"/>
      </rPr>
      <t>(1)</t>
    </r>
    <r>
      <rPr>
        <sz val="11"/>
        <color theme="1"/>
        <rFont val="Calibri"/>
        <family val="2"/>
        <scheme val="minor"/>
      </rPr>
      <t>, 10uF Electrolytic</t>
    </r>
    <r>
      <rPr>
        <b/>
        <sz val="11"/>
        <color theme="1"/>
        <rFont val="Calibri"/>
        <family val="2"/>
        <scheme val="minor"/>
      </rPr>
      <t>(1)</t>
    </r>
  </si>
  <si>
    <r>
      <t>10 ohm</t>
    </r>
    <r>
      <rPr>
        <b/>
        <sz val="11"/>
        <color theme="1"/>
        <rFont val="Calibri"/>
        <family val="2"/>
        <scheme val="minor"/>
      </rPr>
      <t>(2)</t>
    </r>
    <r>
      <rPr>
        <sz val="11"/>
        <color theme="1"/>
        <rFont val="Calibri"/>
        <family val="2"/>
        <scheme val="minor"/>
      </rPr>
      <t>, 47 ohm</t>
    </r>
    <r>
      <rPr>
        <b/>
        <sz val="11"/>
        <color theme="1"/>
        <rFont val="Calibri"/>
        <family val="2"/>
        <scheme val="minor"/>
      </rPr>
      <t>(1)</t>
    </r>
    <r>
      <rPr>
        <sz val="11"/>
        <color theme="1"/>
        <rFont val="Calibri"/>
        <family val="2"/>
        <scheme val="minor"/>
      </rPr>
      <t>, 56 ohm</t>
    </r>
    <r>
      <rPr>
        <b/>
        <sz val="11"/>
        <color theme="1"/>
        <rFont val="Calibri"/>
        <family val="2"/>
        <scheme val="minor"/>
      </rPr>
      <t>(1)</t>
    </r>
    <r>
      <rPr>
        <sz val="11"/>
        <color theme="1"/>
        <rFont val="Calibri"/>
        <family val="2"/>
        <scheme val="minor"/>
      </rPr>
      <t>, 68 ohm</t>
    </r>
    <r>
      <rPr>
        <b/>
        <sz val="11"/>
        <color theme="1"/>
        <rFont val="Calibri"/>
        <family val="2"/>
        <scheme val="minor"/>
      </rPr>
      <t>(1)</t>
    </r>
  </si>
  <si>
    <r>
      <t>100 ohm</t>
    </r>
    <r>
      <rPr>
        <b/>
        <sz val="11"/>
        <color theme="1"/>
        <rFont val="Calibri"/>
        <family val="2"/>
        <scheme val="minor"/>
      </rPr>
      <t>(1)</t>
    </r>
    <r>
      <rPr>
        <sz val="11"/>
        <color theme="1"/>
        <rFont val="Calibri"/>
        <family val="2"/>
        <scheme val="minor"/>
      </rPr>
      <t>, 330 ohm</t>
    </r>
    <r>
      <rPr>
        <b/>
        <sz val="11"/>
        <color theme="1"/>
        <rFont val="Calibri"/>
        <family val="2"/>
        <scheme val="minor"/>
      </rPr>
      <t>(2)</t>
    </r>
    <r>
      <rPr>
        <sz val="11"/>
        <color theme="1"/>
        <rFont val="Calibri"/>
        <family val="2"/>
        <scheme val="minor"/>
      </rPr>
      <t>, 1K ohm</t>
    </r>
    <r>
      <rPr>
        <b/>
        <sz val="11"/>
        <color theme="1"/>
        <rFont val="Calibri"/>
        <family val="2"/>
        <scheme val="minor"/>
      </rPr>
      <t>(3)</t>
    </r>
    <r>
      <rPr>
        <sz val="11"/>
        <color theme="1"/>
        <rFont val="Calibri"/>
        <family val="2"/>
        <scheme val="minor"/>
      </rPr>
      <t>, 10k ohm</t>
    </r>
    <r>
      <rPr>
        <b/>
        <sz val="11"/>
        <color theme="1"/>
        <rFont val="Calibri"/>
        <family val="2"/>
        <scheme val="minor"/>
      </rPr>
      <t>(5)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</si>
</sst>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right"/>
    </xf>
    <xf numFmtId="0" fontId="2" fillId="0" borderId="0" xfId="2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Border="1"/>
    <xf numFmtId="44" fontId="3" fillId="0" borderId="0" xfId="1" applyFont="1" applyBorder="1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2" fillId="0" borderId="1" xfId="2" applyBorder="1" applyAlignment="1">
      <alignment horizontal="center"/>
    </xf>
    <xf numFmtId="44" fontId="0" fillId="0" borderId="1" xfId="1" applyFont="1" applyBorder="1"/>
    <xf numFmtId="44" fontId="0" fillId="0" borderId="1" xfId="0" applyNumberFormat="1" applyBorder="1"/>
    <xf numFmtId="0" fontId="2" fillId="0" borderId="0" xfId="2" applyBorder="1" applyAlignment="1">
      <alignment horizontal="center"/>
    </xf>
    <xf numFmtId="44" fontId="3" fillId="0" borderId="0" xfId="0" applyNumberFormat="1" applyFont="1"/>
    <xf numFmtId="44" fontId="3" fillId="0" borderId="2" xfId="1" applyFont="1" applyBorder="1"/>
    <xf numFmtId="44" fontId="3" fillId="0" borderId="3" xfId="1" applyFont="1" applyBorder="1"/>
    <xf numFmtId="0" fontId="4" fillId="0" borderId="1" xfId="0" applyFont="1" applyBorder="1" applyAlignment="1">
      <alignment horizontal="center"/>
    </xf>
    <xf numFmtId="0" fontId="5" fillId="0" borderId="0" xfId="0" applyFont="1"/>
    <xf numFmtId="0" fontId="4" fillId="0" borderId="5" xfId="0" applyFont="1" applyBorder="1" applyAlignment="1">
      <alignment horizontal="center"/>
    </xf>
    <xf numFmtId="0" fontId="2" fillId="0" borderId="5" xfId="2" applyBorder="1" applyAlignment="1">
      <alignment horizontal="center"/>
    </xf>
    <xf numFmtId="0" fontId="0" fillId="0" borderId="5" xfId="0" applyBorder="1"/>
    <xf numFmtId="44" fontId="0" fillId="0" borderId="5" xfId="1" applyFont="1" applyBorder="1"/>
    <xf numFmtId="0" fontId="0" fillId="0" borderId="5" xfId="0" applyBorder="1" applyAlignment="1">
      <alignment horizontal="center"/>
    </xf>
    <xf numFmtId="44" fontId="0" fillId="0" borderId="5" xfId="0" applyNumberFormat="1" applyBorder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0" xfId="0" applyFont="1"/>
    <xf numFmtId="0" fontId="6" fillId="0" borderId="1" xfId="0" applyFont="1" applyBorder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Font="1"/>
    <xf numFmtId="0" fontId="0" fillId="0" borderId="4" xfId="0" applyFont="1" applyBorder="1"/>
  </cellXfs>
  <cellStyles count="3">
    <cellStyle name="Currency" xfId="1" builtinId="4"/>
    <cellStyle name="Hyperlink" xfId="2" builtinId="8"/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34C247-A874-4CDF-B4AB-AAB6F8743DC5}" name="Table1" displayName="Table1" ref="A1:B20" totalsRowShown="0" headerRowDxfId="1" dataDxfId="0">
  <autoFilter ref="A1:B20" xr:uid="{B134C247-A874-4CDF-B4AB-AAB6F8743DC5}"/>
  <tableColumns count="2">
    <tableColumn id="1" xr3:uid="{B8982F98-AE1F-4992-8672-BCA500C2AC22}" name="Item Type" dataDxfId="3"/>
    <tableColumn id="2" xr3:uid="{5009108C-A282-46A6-8F71-C02A71995F08}" name="Item Model &amp; Counts" dataDxfId="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EBBA30-ACEC-4E8E-8B55-477E5E0A4F63}" name="Table2" displayName="Table2" ref="A1:B8" totalsRowShown="0">
  <autoFilter ref="A1:B8" xr:uid="{F1EBBA30-ACEC-4E8E-8B55-477E5E0A4F63}"/>
  <tableColumns count="2">
    <tableColumn id="1" xr3:uid="{436CEF14-1B6C-454E-A11E-768C2383250A}" name="Item Type"/>
    <tableColumn id="2" xr3:uid="{B77FC513-9C00-4C5F-AAE5-B342CE32253D}" name="Item Model &amp; Count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dafruit.com/product/3873" TargetMode="External"/><Relationship Id="rId13" Type="http://schemas.openxmlformats.org/officeDocument/2006/relationships/hyperlink" Target="https://www.jameco.com/z/BB400-Busboard-Prototype-Systems-400-Point-Solderless-Plug-in-Breadboard-with-4-Power-Rails_2284607.html" TargetMode="External"/><Relationship Id="rId18" Type="http://schemas.openxmlformats.org/officeDocument/2006/relationships/hyperlink" Target="https://www.amazon.com/gp/product/B09T2RFF1C" TargetMode="External"/><Relationship Id="rId26" Type="http://schemas.openxmlformats.org/officeDocument/2006/relationships/hyperlink" Target="https://www.amazon.com/gp/product/B07PBQXQNQ" TargetMode="External"/><Relationship Id="rId39" Type="http://schemas.openxmlformats.org/officeDocument/2006/relationships/hyperlink" Target="https://www.amazon.com/gp/product/B08M5GNY47" TargetMode="External"/><Relationship Id="rId3" Type="http://schemas.openxmlformats.org/officeDocument/2006/relationships/hyperlink" Target="https://www.adafruit.com/product/808" TargetMode="External"/><Relationship Id="rId21" Type="http://schemas.openxmlformats.org/officeDocument/2006/relationships/hyperlink" Target="https://www.amazon.com/dp/B07QDXV136" TargetMode="External"/><Relationship Id="rId34" Type="http://schemas.openxmlformats.org/officeDocument/2006/relationships/hyperlink" Target="https://www.amazon.com/dp/B00FZVPWTI" TargetMode="External"/><Relationship Id="rId7" Type="http://schemas.openxmlformats.org/officeDocument/2006/relationships/hyperlink" Target="https://www.adafruit.com/product/3297" TargetMode="External"/><Relationship Id="rId12" Type="http://schemas.openxmlformats.org/officeDocument/2006/relationships/hyperlink" Target="https://www.jameco.com/z/BB1660-Busboard-Prototype-Systems-1660-Point-Solderless-Plug-in-Breadboard-with-8-Power-Rails_2293711.html" TargetMode="External"/><Relationship Id="rId17" Type="http://schemas.openxmlformats.org/officeDocument/2006/relationships/hyperlink" Target="https://www.amazon.com/dp/B08R9MGSWV" TargetMode="External"/><Relationship Id="rId25" Type="http://schemas.openxmlformats.org/officeDocument/2006/relationships/hyperlink" Target="https://www.amazon.com/gp/product/B07P8N8BW9" TargetMode="External"/><Relationship Id="rId33" Type="http://schemas.openxmlformats.org/officeDocument/2006/relationships/hyperlink" Target="https://www.amazon.com/dp/B00FZVPX10" TargetMode="External"/><Relationship Id="rId38" Type="http://schemas.openxmlformats.org/officeDocument/2006/relationships/hyperlink" Target="https://www.amazon.com/gp/product/B09P8K9T38" TargetMode="External"/><Relationship Id="rId2" Type="http://schemas.openxmlformats.org/officeDocument/2006/relationships/hyperlink" Target="https://www.adafruit.com/product/1085" TargetMode="External"/><Relationship Id="rId16" Type="http://schemas.openxmlformats.org/officeDocument/2006/relationships/hyperlink" Target="https://www.amazon.com/AITRIP-Generator-Programmable-Microprocessors-Interface/dp/B09154XMGS" TargetMode="External"/><Relationship Id="rId20" Type="http://schemas.openxmlformats.org/officeDocument/2006/relationships/hyperlink" Target="https://www.amazon.com/dp/B07QKBJHT7" TargetMode="External"/><Relationship Id="rId29" Type="http://schemas.openxmlformats.org/officeDocument/2006/relationships/hyperlink" Target="https://www.amazon.com/gp/product/B073QMYKDM" TargetMode="External"/><Relationship Id="rId1" Type="http://schemas.openxmlformats.org/officeDocument/2006/relationships/hyperlink" Target="https://www.adafruit.com/product/756" TargetMode="External"/><Relationship Id="rId6" Type="http://schemas.openxmlformats.org/officeDocument/2006/relationships/hyperlink" Target="https://www.adafruit.com/product/5579" TargetMode="External"/><Relationship Id="rId11" Type="http://schemas.openxmlformats.org/officeDocument/2006/relationships/hyperlink" Target="https://www.adafruit.com/product/755" TargetMode="External"/><Relationship Id="rId24" Type="http://schemas.openxmlformats.org/officeDocument/2006/relationships/hyperlink" Target="https://www.amazon.com/dp/B07QH5PFG3" TargetMode="External"/><Relationship Id="rId32" Type="http://schemas.openxmlformats.org/officeDocument/2006/relationships/hyperlink" Target="https://www.amazon.com/gp/product/B00FZPHEW2" TargetMode="External"/><Relationship Id="rId37" Type="http://schemas.openxmlformats.org/officeDocument/2006/relationships/hyperlink" Target="https://www.amazon.com/gp/product/B09KGXTVBR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www.adafruit.com/product/935" TargetMode="External"/><Relationship Id="rId15" Type="http://schemas.openxmlformats.org/officeDocument/2006/relationships/hyperlink" Target="https://www.newegg.com/p/181-00XT-00004?Description=USB%20A%20to%20USB%20C&amp;cm_re=USB_A%20to%20USB%20C-_-9SIADA2AG42766-_-Product" TargetMode="External"/><Relationship Id="rId23" Type="http://schemas.openxmlformats.org/officeDocument/2006/relationships/hyperlink" Target="https://www.amazon.com/dp/B07QG1V4YL" TargetMode="External"/><Relationship Id="rId28" Type="http://schemas.openxmlformats.org/officeDocument/2006/relationships/hyperlink" Target="https://www.amazon.com/dp/B07QKC22PK" TargetMode="External"/><Relationship Id="rId36" Type="http://schemas.openxmlformats.org/officeDocument/2006/relationships/hyperlink" Target="https://www.amazon.com/gp/product/B07QG1VL1Q" TargetMode="External"/><Relationship Id="rId10" Type="http://schemas.openxmlformats.org/officeDocument/2006/relationships/hyperlink" Target="https://www.adafruit.com/product/153" TargetMode="External"/><Relationship Id="rId19" Type="http://schemas.openxmlformats.org/officeDocument/2006/relationships/hyperlink" Target="https://www.amazon.com/dp/B07QJB31M7" TargetMode="External"/><Relationship Id="rId31" Type="http://schemas.openxmlformats.org/officeDocument/2006/relationships/hyperlink" Target="https://www.sparkfun.com/products/18340" TargetMode="External"/><Relationship Id="rId4" Type="http://schemas.openxmlformats.org/officeDocument/2006/relationships/hyperlink" Target="https://www.adafruit.com/product/5302" TargetMode="External"/><Relationship Id="rId9" Type="http://schemas.openxmlformats.org/officeDocument/2006/relationships/hyperlink" Target="https://www.adafruit.com/product/5385" TargetMode="External"/><Relationship Id="rId14" Type="http://schemas.openxmlformats.org/officeDocument/2006/relationships/hyperlink" Target="https://shop.elenco.com/consumers/350-pc-preformed-jumper-wire-kit.html" TargetMode="External"/><Relationship Id="rId22" Type="http://schemas.openxmlformats.org/officeDocument/2006/relationships/hyperlink" Target="https://www.amazon.com/dp/B07QDXV69F" TargetMode="External"/><Relationship Id="rId27" Type="http://schemas.openxmlformats.org/officeDocument/2006/relationships/hyperlink" Target="https://www.amazon.com/dp/B079DC299X" TargetMode="External"/><Relationship Id="rId30" Type="http://schemas.openxmlformats.org/officeDocument/2006/relationships/hyperlink" Target="https://www.sparkfun.com/products/14782" TargetMode="External"/><Relationship Id="rId35" Type="http://schemas.openxmlformats.org/officeDocument/2006/relationships/hyperlink" Target="https://www.amazon.com/dp/B07JLLTXQ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44F13-018E-4E01-A87F-C5DDA79069E1}">
  <dimension ref="A1:F58"/>
  <sheetViews>
    <sheetView tabSelected="1" workbookViewId="0"/>
  </sheetViews>
  <sheetFormatPr defaultRowHeight="15" x14ac:dyDescent="0.25"/>
  <cols>
    <col min="1" max="1" width="11" customWidth="1"/>
    <col min="2" max="2" width="16.85546875" customWidth="1"/>
    <col min="3" max="3" width="61.140625" customWidth="1"/>
    <col min="4" max="4" width="10.5703125" bestFit="1" customWidth="1"/>
    <col min="6" max="6" width="11.140625" customWidth="1"/>
  </cols>
  <sheetData>
    <row r="1" spans="1:6" x14ac:dyDescent="0.25">
      <c r="A1" s="8" t="s">
        <v>53</v>
      </c>
      <c r="C1" s="8" t="s">
        <v>17</v>
      </c>
    </row>
    <row r="3" spans="1:6" x14ac:dyDescent="0.25">
      <c r="A3" s="11" t="s">
        <v>9</v>
      </c>
      <c r="B3" s="11" t="s">
        <v>3</v>
      </c>
      <c r="C3" s="12" t="s">
        <v>4</v>
      </c>
      <c r="D3" s="13" t="s">
        <v>5</v>
      </c>
      <c r="E3" s="11" t="s">
        <v>7</v>
      </c>
      <c r="F3" s="13" t="s">
        <v>8</v>
      </c>
    </row>
    <row r="4" spans="1:6" x14ac:dyDescent="0.25">
      <c r="A4" s="10" t="s">
        <v>2</v>
      </c>
      <c r="B4" s="14">
        <v>5302</v>
      </c>
      <c r="C4" s="9" t="s">
        <v>1</v>
      </c>
      <c r="D4" s="15">
        <v>8.9499999999999993</v>
      </c>
      <c r="E4" s="10">
        <v>1</v>
      </c>
      <c r="F4" s="16">
        <f>+E4*D4</f>
        <v>8.9499999999999993</v>
      </c>
    </row>
    <row r="5" spans="1:6" x14ac:dyDescent="0.25">
      <c r="A5" s="10" t="s">
        <v>2</v>
      </c>
      <c r="B5" s="14">
        <v>808</v>
      </c>
      <c r="C5" s="9" t="s">
        <v>73</v>
      </c>
      <c r="D5" s="15">
        <v>3.95</v>
      </c>
      <c r="E5" s="10">
        <v>1</v>
      </c>
      <c r="F5" s="16">
        <f t="shared" ref="F5:F14" si="0">+E5*D5</f>
        <v>3.95</v>
      </c>
    </row>
    <row r="6" spans="1:6" x14ac:dyDescent="0.25">
      <c r="A6" s="10" t="s">
        <v>2</v>
      </c>
      <c r="B6" s="14">
        <v>1085</v>
      </c>
      <c r="C6" s="9" t="s">
        <v>57</v>
      </c>
      <c r="D6" s="15">
        <v>14.95</v>
      </c>
      <c r="E6" s="10">
        <v>1</v>
      </c>
      <c r="F6" s="16">
        <f t="shared" si="0"/>
        <v>14.95</v>
      </c>
    </row>
    <row r="7" spans="1:6" x14ac:dyDescent="0.25">
      <c r="A7" s="10" t="s">
        <v>2</v>
      </c>
      <c r="B7" s="14">
        <v>935</v>
      </c>
      <c r="C7" s="9" t="s">
        <v>58</v>
      </c>
      <c r="D7" s="15">
        <v>4.95</v>
      </c>
      <c r="E7" s="10">
        <v>1</v>
      </c>
      <c r="F7" s="16">
        <f t="shared" si="0"/>
        <v>4.95</v>
      </c>
    </row>
    <row r="8" spans="1:6" x14ac:dyDescent="0.25">
      <c r="A8" s="10" t="s">
        <v>2</v>
      </c>
      <c r="B8" s="14">
        <v>5579</v>
      </c>
      <c r="C8" s="9" t="s">
        <v>10</v>
      </c>
      <c r="D8" s="15">
        <v>4.95</v>
      </c>
      <c r="E8" s="10">
        <v>1</v>
      </c>
      <c r="F8" s="16">
        <f>+E8*D8</f>
        <v>4.95</v>
      </c>
    </row>
    <row r="9" spans="1:6" x14ac:dyDescent="0.25">
      <c r="A9" s="10" t="s">
        <v>2</v>
      </c>
      <c r="B9" s="14">
        <v>3297</v>
      </c>
      <c r="C9" s="9" t="s">
        <v>11</v>
      </c>
      <c r="D9" s="15">
        <v>4.95</v>
      </c>
      <c r="E9" s="10">
        <v>1</v>
      </c>
      <c r="F9" s="16">
        <f>+E9*D9</f>
        <v>4.95</v>
      </c>
    </row>
    <row r="10" spans="1:6" x14ac:dyDescent="0.25">
      <c r="A10" s="10" t="s">
        <v>2</v>
      </c>
      <c r="B10" s="14">
        <v>3873</v>
      </c>
      <c r="C10" s="9" t="s">
        <v>12</v>
      </c>
      <c r="D10" s="15">
        <v>9.9499999999999993</v>
      </c>
      <c r="E10" s="10">
        <v>1</v>
      </c>
      <c r="F10" s="16">
        <f>+E10*D10</f>
        <v>9.9499999999999993</v>
      </c>
    </row>
    <row r="11" spans="1:6" x14ac:dyDescent="0.25">
      <c r="A11" s="10" t="s">
        <v>2</v>
      </c>
      <c r="B11" s="14">
        <v>5385</v>
      </c>
      <c r="C11" s="9" t="s">
        <v>13</v>
      </c>
      <c r="D11" s="15">
        <v>1.5</v>
      </c>
      <c r="E11" s="10">
        <v>1</v>
      </c>
      <c r="F11" s="16">
        <f>+E11*D11</f>
        <v>1.5</v>
      </c>
    </row>
    <row r="12" spans="1:6" x14ac:dyDescent="0.25">
      <c r="A12" s="10" t="s">
        <v>2</v>
      </c>
      <c r="B12" s="14">
        <v>756</v>
      </c>
      <c r="C12" s="9" t="s">
        <v>56</v>
      </c>
      <c r="D12" s="15">
        <v>1.95</v>
      </c>
      <c r="E12" s="10">
        <v>1</v>
      </c>
      <c r="F12" s="16">
        <f t="shared" si="0"/>
        <v>1.95</v>
      </c>
    </row>
    <row r="13" spans="1:6" x14ac:dyDescent="0.25">
      <c r="A13" s="10" t="s">
        <v>2</v>
      </c>
      <c r="B13" s="14">
        <v>755</v>
      </c>
      <c r="C13" s="9" t="s">
        <v>16</v>
      </c>
      <c r="D13" s="15">
        <v>1.5</v>
      </c>
      <c r="E13" s="10">
        <v>1</v>
      </c>
      <c r="F13" s="16">
        <f t="shared" si="0"/>
        <v>1.5</v>
      </c>
    </row>
    <row r="14" spans="1:6" x14ac:dyDescent="0.25">
      <c r="A14" s="10" t="s">
        <v>2</v>
      </c>
      <c r="B14" s="14">
        <v>153</v>
      </c>
      <c r="C14" s="9" t="s">
        <v>255</v>
      </c>
      <c r="D14" s="15">
        <v>4.46</v>
      </c>
      <c r="E14" s="10">
        <v>1</v>
      </c>
      <c r="F14" s="16">
        <f t="shared" si="0"/>
        <v>4.46</v>
      </c>
    </row>
    <row r="15" spans="1:6" x14ac:dyDescent="0.25">
      <c r="A15" s="5"/>
      <c r="B15" s="4"/>
      <c r="D15" s="1"/>
      <c r="E15" s="5"/>
      <c r="F15" s="18">
        <f>+SUM(F4:F14)</f>
        <v>62.060000000000009</v>
      </c>
    </row>
    <row r="16" spans="1:6" x14ac:dyDescent="0.25">
      <c r="A16" s="5"/>
      <c r="B16" s="4"/>
      <c r="D16" s="1"/>
      <c r="E16" s="5"/>
      <c r="F16" s="18"/>
    </row>
    <row r="17" spans="1:6" x14ac:dyDescent="0.25">
      <c r="A17" s="10" t="s">
        <v>18</v>
      </c>
      <c r="B17" s="14">
        <v>2293711</v>
      </c>
      <c r="C17" s="9" t="s">
        <v>6</v>
      </c>
      <c r="D17" s="15">
        <v>15.95</v>
      </c>
      <c r="E17" s="10">
        <v>1</v>
      </c>
      <c r="F17" s="16">
        <f t="shared" ref="F17" si="1">+E17*D17</f>
        <v>15.95</v>
      </c>
    </row>
    <row r="18" spans="1:6" x14ac:dyDescent="0.25">
      <c r="A18" s="10" t="s">
        <v>18</v>
      </c>
      <c r="B18" s="14">
        <v>2284607</v>
      </c>
      <c r="C18" s="9" t="s">
        <v>14</v>
      </c>
      <c r="D18" s="15">
        <v>7.49</v>
      </c>
      <c r="E18" s="10">
        <v>1</v>
      </c>
      <c r="F18" s="16">
        <f>+E18*D18</f>
        <v>7.49</v>
      </c>
    </row>
    <row r="19" spans="1:6" x14ac:dyDescent="0.25">
      <c r="A19" s="5"/>
      <c r="B19" s="17"/>
      <c r="D19" s="6"/>
      <c r="E19" s="5"/>
      <c r="F19" s="18">
        <f>+SUM(F17:F18)</f>
        <v>23.439999999999998</v>
      </c>
    </row>
    <row r="20" spans="1:6" x14ac:dyDescent="0.25">
      <c r="A20" s="5"/>
      <c r="B20" s="17"/>
      <c r="D20" s="6"/>
      <c r="E20" s="5"/>
      <c r="F20" s="2"/>
    </row>
    <row r="21" spans="1:6" x14ac:dyDescent="0.25">
      <c r="A21" s="10" t="s">
        <v>20</v>
      </c>
      <c r="B21" s="14" t="s">
        <v>19</v>
      </c>
      <c r="C21" s="9" t="s">
        <v>0</v>
      </c>
      <c r="D21" s="15">
        <v>19.989999999999998</v>
      </c>
      <c r="E21" s="10">
        <v>2</v>
      </c>
      <c r="F21" s="16">
        <f>+E21*D21</f>
        <v>39.979999999999997</v>
      </c>
    </row>
    <row r="22" spans="1:6" x14ac:dyDescent="0.25">
      <c r="A22" s="5"/>
      <c r="B22" s="17"/>
      <c r="D22" s="6"/>
      <c r="E22" s="5"/>
      <c r="F22" s="18">
        <f>+SUM(F21)</f>
        <v>39.979999999999997</v>
      </c>
    </row>
    <row r="24" spans="1:6" x14ac:dyDescent="0.25">
      <c r="A24" s="10" t="s">
        <v>22</v>
      </c>
      <c r="B24" s="14" t="s">
        <v>21</v>
      </c>
      <c r="C24" s="9" t="s">
        <v>23</v>
      </c>
      <c r="D24" s="15">
        <v>19.989999999999998</v>
      </c>
      <c r="E24" s="10">
        <v>1</v>
      </c>
      <c r="F24" s="16">
        <f>+E24*D24</f>
        <v>19.989999999999998</v>
      </c>
    </row>
    <row r="25" spans="1:6" x14ac:dyDescent="0.25">
      <c r="F25" s="18">
        <f>+SUM(F24)</f>
        <v>19.989999999999998</v>
      </c>
    </row>
    <row r="26" spans="1:6" x14ac:dyDescent="0.25">
      <c r="F26" s="18"/>
    </row>
    <row r="27" spans="1:6" x14ac:dyDescent="0.25">
      <c r="A27" s="10" t="s">
        <v>24</v>
      </c>
      <c r="B27" s="14">
        <v>14782</v>
      </c>
      <c r="C27" s="9" t="s">
        <v>25</v>
      </c>
      <c r="D27" s="15">
        <v>8.9499999999999993</v>
      </c>
      <c r="E27" s="10">
        <v>1</v>
      </c>
      <c r="F27" s="16">
        <f>+E27*D27</f>
        <v>8.9499999999999993</v>
      </c>
    </row>
    <row r="28" spans="1:6" x14ac:dyDescent="0.25">
      <c r="A28" s="10" t="s">
        <v>24</v>
      </c>
      <c r="B28" s="14">
        <v>18340</v>
      </c>
      <c r="C28" s="9" t="s">
        <v>26</v>
      </c>
      <c r="D28" s="15">
        <v>17.95</v>
      </c>
      <c r="E28" s="10">
        <v>1</v>
      </c>
      <c r="F28" s="16">
        <f>+E28*D28</f>
        <v>17.95</v>
      </c>
    </row>
    <row r="29" spans="1:6" x14ac:dyDescent="0.25">
      <c r="F29" s="18">
        <f>+SUM(F27:F28)</f>
        <v>26.9</v>
      </c>
    </row>
    <row r="30" spans="1:6" x14ac:dyDescent="0.25">
      <c r="F30" s="18"/>
    </row>
    <row r="31" spans="1:6" x14ac:dyDescent="0.25">
      <c r="A31" s="21" t="s">
        <v>27</v>
      </c>
      <c r="B31" s="14" t="s">
        <v>28</v>
      </c>
      <c r="C31" s="9" t="s">
        <v>29</v>
      </c>
      <c r="D31" s="15">
        <v>18.989999999999998</v>
      </c>
      <c r="E31" s="10">
        <v>1</v>
      </c>
      <c r="F31" s="16">
        <f>+E31*D31</f>
        <v>18.989999999999998</v>
      </c>
    </row>
    <row r="32" spans="1:6" x14ac:dyDescent="0.25">
      <c r="A32" s="21" t="s">
        <v>27</v>
      </c>
      <c r="B32" s="14" t="s">
        <v>30</v>
      </c>
      <c r="C32" s="9" t="s">
        <v>91</v>
      </c>
      <c r="D32" s="15">
        <v>15.99</v>
      </c>
      <c r="E32" s="10">
        <v>1</v>
      </c>
      <c r="F32" s="16">
        <f>+E32*D32</f>
        <v>15.99</v>
      </c>
    </row>
    <row r="33" spans="1:6" x14ac:dyDescent="0.25">
      <c r="A33" s="21" t="s">
        <v>27</v>
      </c>
      <c r="B33" s="14" t="s">
        <v>69</v>
      </c>
      <c r="C33" s="9" t="s">
        <v>70</v>
      </c>
      <c r="D33" s="15">
        <v>9.99</v>
      </c>
      <c r="E33" s="10">
        <v>1</v>
      </c>
      <c r="F33" s="16">
        <f>+E33*D33</f>
        <v>9.99</v>
      </c>
    </row>
    <row r="34" spans="1:6" x14ac:dyDescent="0.25">
      <c r="A34" s="21" t="s">
        <v>27</v>
      </c>
      <c r="B34" s="14" t="s">
        <v>31</v>
      </c>
      <c r="C34" s="9" t="s">
        <v>32</v>
      </c>
      <c r="D34" s="15">
        <v>5.99</v>
      </c>
      <c r="E34" s="10">
        <v>2</v>
      </c>
      <c r="F34" s="16">
        <f>+E34*D34</f>
        <v>11.98</v>
      </c>
    </row>
    <row r="35" spans="1:6" x14ac:dyDescent="0.25">
      <c r="A35" s="21" t="s">
        <v>27</v>
      </c>
      <c r="B35" s="14" t="s">
        <v>54</v>
      </c>
      <c r="C35" s="9" t="s">
        <v>55</v>
      </c>
      <c r="D35" s="15">
        <v>5.99</v>
      </c>
      <c r="E35" s="10">
        <v>1</v>
      </c>
      <c r="F35" s="16">
        <f>+E35*D35</f>
        <v>5.99</v>
      </c>
    </row>
    <row r="36" spans="1:6" x14ac:dyDescent="0.25">
      <c r="A36" s="21" t="s">
        <v>27</v>
      </c>
      <c r="B36" s="14" t="s">
        <v>35</v>
      </c>
      <c r="C36" s="9" t="s">
        <v>36</v>
      </c>
      <c r="D36" s="15">
        <v>5.99</v>
      </c>
      <c r="E36" s="10">
        <v>1</v>
      </c>
      <c r="F36" s="15">
        <f t="shared" ref="F36:F42" si="2">+D36*E36</f>
        <v>5.99</v>
      </c>
    </row>
    <row r="37" spans="1:6" x14ac:dyDescent="0.25">
      <c r="A37" s="21" t="s">
        <v>27</v>
      </c>
      <c r="B37" s="14" t="s">
        <v>33</v>
      </c>
      <c r="C37" s="9" t="s">
        <v>34</v>
      </c>
      <c r="D37" s="15">
        <v>5.99</v>
      </c>
      <c r="E37" s="10">
        <v>1</v>
      </c>
      <c r="F37" s="15">
        <f t="shared" si="2"/>
        <v>5.99</v>
      </c>
    </row>
    <row r="38" spans="1:6" x14ac:dyDescent="0.25">
      <c r="A38" s="21" t="s">
        <v>27</v>
      </c>
      <c r="B38" s="14" t="s">
        <v>37</v>
      </c>
      <c r="C38" s="9" t="s">
        <v>38</v>
      </c>
      <c r="D38" s="15">
        <v>5.99</v>
      </c>
      <c r="E38" s="10">
        <v>1</v>
      </c>
      <c r="F38" s="15">
        <f t="shared" si="2"/>
        <v>5.99</v>
      </c>
    </row>
    <row r="39" spans="1:6" x14ac:dyDescent="0.25">
      <c r="A39" s="21" t="s">
        <v>27</v>
      </c>
      <c r="B39" s="14" t="s">
        <v>71</v>
      </c>
      <c r="C39" s="9" t="s">
        <v>72</v>
      </c>
      <c r="D39" s="15">
        <v>5.99</v>
      </c>
      <c r="E39" s="10">
        <v>1</v>
      </c>
      <c r="F39" s="15">
        <f t="shared" ref="F39" si="3">+D39*E39</f>
        <v>5.99</v>
      </c>
    </row>
    <row r="40" spans="1:6" x14ac:dyDescent="0.25">
      <c r="A40" s="21" t="s">
        <v>27</v>
      </c>
      <c r="B40" s="14" t="s">
        <v>39</v>
      </c>
      <c r="C40" s="9" t="s">
        <v>40</v>
      </c>
      <c r="D40" s="15">
        <v>5.99</v>
      </c>
      <c r="E40" s="10">
        <v>1</v>
      </c>
      <c r="F40" s="15">
        <f t="shared" si="2"/>
        <v>5.99</v>
      </c>
    </row>
    <row r="41" spans="1:6" x14ac:dyDescent="0.25">
      <c r="A41" s="21" t="s">
        <v>27</v>
      </c>
      <c r="B41" s="14" t="s">
        <v>41</v>
      </c>
      <c r="C41" s="9" t="s">
        <v>42</v>
      </c>
      <c r="D41" s="15">
        <v>5.99</v>
      </c>
      <c r="E41" s="10">
        <v>1</v>
      </c>
      <c r="F41" s="15">
        <f t="shared" si="2"/>
        <v>5.99</v>
      </c>
    </row>
    <row r="42" spans="1:6" x14ac:dyDescent="0.25">
      <c r="A42" s="21" t="s">
        <v>27</v>
      </c>
      <c r="B42" s="14" t="s">
        <v>44</v>
      </c>
      <c r="C42" s="9" t="s">
        <v>43</v>
      </c>
      <c r="D42" s="15">
        <v>5.99</v>
      </c>
      <c r="E42" s="10">
        <v>1</v>
      </c>
      <c r="F42" s="15">
        <f t="shared" si="2"/>
        <v>5.99</v>
      </c>
    </row>
    <row r="43" spans="1:6" x14ac:dyDescent="0.25">
      <c r="A43" s="21" t="s">
        <v>27</v>
      </c>
      <c r="B43" s="14" t="s">
        <v>45</v>
      </c>
      <c r="C43" s="9" t="s">
        <v>46</v>
      </c>
      <c r="D43" s="15">
        <v>12.99</v>
      </c>
      <c r="E43" s="10">
        <v>1</v>
      </c>
      <c r="F43" s="16">
        <f t="shared" ref="F43:F46" si="4">+E43*D43</f>
        <v>12.99</v>
      </c>
    </row>
    <row r="44" spans="1:6" x14ac:dyDescent="0.25">
      <c r="A44" s="21" t="s">
        <v>27</v>
      </c>
      <c r="B44" s="14" t="s">
        <v>47</v>
      </c>
      <c r="C44" s="9" t="s">
        <v>48</v>
      </c>
      <c r="D44" s="15">
        <v>16.989999999999998</v>
      </c>
      <c r="E44" s="10">
        <v>1</v>
      </c>
      <c r="F44" s="16">
        <f t="shared" si="4"/>
        <v>16.989999999999998</v>
      </c>
    </row>
    <row r="45" spans="1:6" x14ac:dyDescent="0.25">
      <c r="A45" s="21" t="s">
        <v>27</v>
      </c>
      <c r="B45" s="14" t="s">
        <v>49</v>
      </c>
      <c r="C45" s="9" t="s">
        <v>50</v>
      </c>
      <c r="D45" s="15">
        <v>11.49</v>
      </c>
      <c r="E45" s="10">
        <v>1</v>
      </c>
      <c r="F45" s="16">
        <f t="shared" si="4"/>
        <v>11.49</v>
      </c>
    </row>
    <row r="46" spans="1:6" x14ac:dyDescent="0.25">
      <c r="A46" s="21" t="s">
        <v>27</v>
      </c>
      <c r="B46" s="14" t="s">
        <v>60</v>
      </c>
      <c r="C46" s="9" t="s">
        <v>61</v>
      </c>
      <c r="D46" s="15">
        <v>12.99</v>
      </c>
      <c r="E46" s="10">
        <v>1</v>
      </c>
      <c r="F46" s="16">
        <f t="shared" si="4"/>
        <v>12.99</v>
      </c>
    </row>
    <row r="47" spans="1:6" x14ac:dyDescent="0.25">
      <c r="A47" s="21" t="s">
        <v>27</v>
      </c>
      <c r="B47" s="14" t="s">
        <v>63</v>
      </c>
      <c r="C47" s="9" t="s">
        <v>64</v>
      </c>
      <c r="D47" s="15">
        <v>32.99</v>
      </c>
      <c r="E47" s="10">
        <v>1</v>
      </c>
      <c r="F47" s="16">
        <f t="shared" ref="F47:F50" si="5">+E47*D47</f>
        <v>32.99</v>
      </c>
    </row>
    <row r="48" spans="1:6" x14ac:dyDescent="0.25">
      <c r="A48" s="21" t="s">
        <v>27</v>
      </c>
      <c r="B48" s="14" t="s">
        <v>65</v>
      </c>
      <c r="C48" s="9" t="s">
        <v>66</v>
      </c>
      <c r="D48" s="15">
        <v>14.96</v>
      </c>
      <c r="E48" s="10">
        <v>1</v>
      </c>
      <c r="F48" s="16">
        <f t="shared" si="5"/>
        <v>14.96</v>
      </c>
    </row>
    <row r="49" spans="1:6" x14ac:dyDescent="0.25">
      <c r="A49" s="21" t="s">
        <v>27</v>
      </c>
      <c r="B49" s="14" t="s">
        <v>193</v>
      </c>
      <c r="C49" s="9" t="s">
        <v>194</v>
      </c>
      <c r="D49" s="15">
        <v>20.49</v>
      </c>
      <c r="E49" s="10">
        <v>1</v>
      </c>
      <c r="F49" s="16">
        <f t="shared" si="5"/>
        <v>20.49</v>
      </c>
    </row>
    <row r="50" spans="1:6" x14ac:dyDescent="0.25">
      <c r="A50" s="23" t="s">
        <v>27</v>
      </c>
      <c r="B50" s="24" t="s">
        <v>195</v>
      </c>
      <c r="C50" s="25" t="s">
        <v>256</v>
      </c>
      <c r="D50" s="26">
        <v>10.99</v>
      </c>
      <c r="E50" s="27">
        <v>1</v>
      </c>
      <c r="F50" s="28">
        <f t="shared" si="5"/>
        <v>10.99</v>
      </c>
    </row>
    <row r="51" spans="1:6" x14ac:dyDescent="0.25">
      <c r="A51" s="23" t="s">
        <v>27</v>
      </c>
      <c r="B51" s="24" t="s">
        <v>67</v>
      </c>
      <c r="C51" s="25" t="s">
        <v>68</v>
      </c>
      <c r="D51" s="26">
        <v>7.99</v>
      </c>
      <c r="E51" s="27">
        <v>1</v>
      </c>
      <c r="F51" s="28">
        <f t="shared" ref="F51" si="6">+E51*D51</f>
        <v>7.99</v>
      </c>
    </row>
    <row r="52" spans="1:6" x14ac:dyDescent="0.25">
      <c r="A52" s="21" t="s">
        <v>27</v>
      </c>
      <c r="B52" s="14" t="s">
        <v>59</v>
      </c>
      <c r="C52" s="9" t="s">
        <v>62</v>
      </c>
      <c r="D52" s="15">
        <v>14.96</v>
      </c>
      <c r="E52" s="10">
        <v>1</v>
      </c>
      <c r="F52" s="16">
        <f>+E52*D52</f>
        <v>14.96</v>
      </c>
    </row>
    <row r="53" spans="1:6" x14ac:dyDescent="0.25">
      <c r="A53" s="5"/>
      <c r="B53" s="17"/>
      <c r="D53" s="6"/>
      <c r="E53" s="5"/>
      <c r="F53" s="18">
        <f>+SUM(F31:F52)</f>
        <v>261.71000000000004</v>
      </c>
    </row>
    <row r="54" spans="1:6" x14ac:dyDescent="0.25">
      <c r="A54" s="5"/>
      <c r="B54" s="17"/>
      <c r="D54" s="6"/>
      <c r="E54" s="5"/>
      <c r="F54" s="2"/>
    </row>
    <row r="55" spans="1:6" x14ac:dyDescent="0.25">
      <c r="E55" s="3" t="s">
        <v>52</v>
      </c>
      <c r="F55" s="7">
        <f>+F15+F19+F22+F25+F53+F29</f>
        <v>434.08000000000004</v>
      </c>
    </row>
    <row r="56" spans="1:6" x14ac:dyDescent="0.25">
      <c r="E56" s="3" t="s">
        <v>51</v>
      </c>
      <c r="F56" s="19">
        <f>+F55*0.0865</f>
        <v>37.547919999999998</v>
      </c>
    </row>
    <row r="57" spans="1:6" ht="15.75" thickBot="1" x14ac:dyDescent="0.3">
      <c r="E57" s="3" t="s">
        <v>15</v>
      </c>
      <c r="F57" s="20">
        <f>+F55+F56</f>
        <v>471.62792000000002</v>
      </c>
    </row>
    <row r="58" spans="1:6" ht="15.75" thickTop="1" x14ac:dyDescent="0.25"/>
  </sheetData>
  <hyperlinks>
    <hyperlink ref="B12" r:id="rId1" display="https://www.adafruit.com/product/756" xr:uid="{157021EA-E18D-41E3-914D-1554C9AB712B}"/>
    <hyperlink ref="B6" r:id="rId2" display="1085" xr:uid="{4228451A-9F48-4086-9222-5BC7E280EB2A}"/>
    <hyperlink ref="B5" r:id="rId3" display="808" xr:uid="{C8C90BBD-EB2D-42F9-95AD-520D60503D3F}"/>
    <hyperlink ref="B4" r:id="rId4" display="5302" xr:uid="{21CF7B5F-A17B-4DA3-A4ED-06FE45018FDD}"/>
    <hyperlink ref="B7" r:id="rId5" display="935" xr:uid="{3CA912DE-6A39-4CEC-8ACC-9F4C91EC4B7F}"/>
    <hyperlink ref="B8" r:id="rId6" display="5579" xr:uid="{FD43023F-2555-4B2B-9EA1-7787EC398DA9}"/>
    <hyperlink ref="B9" r:id="rId7" display="3297" xr:uid="{464A4838-E029-4A82-8D62-C7972264711A}"/>
    <hyperlink ref="B10" r:id="rId8" display="3873" xr:uid="{C49E2BBE-011B-412C-A162-25D5996E09A2}"/>
    <hyperlink ref="B11" r:id="rId9" display="5385" xr:uid="{1AAEA96B-5355-4D18-8C78-539E6B228B8A}"/>
    <hyperlink ref="B14" r:id="rId10" display="153" xr:uid="{E788D33E-EF1C-4C02-B1D8-443153FFA2A9}"/>
    <hyperlink ref="B13" r:id="rId11" display="755" xr:uid="{43C6A5E8-2D8D-4E9B-9BA4-7D6E3617D205}"/>
    <hyperlink ref="B17" r:id="rId12" display="2293711" xr:uid="{D1A7165B-25E3-46A0-9007-EC0073B7833E}"/>
    <hyperlink ref="B18" r:id="rId13" display="2284607" xr:uid="{EFF09349-6397-4579-A952-96A27D0D392D}"/>
    <hyperlink ref="B21" r:id="rId14" xr:uid="{F04C58A9-E32C-496C-9DF4-0A9F50E16EBC}"/>
    <hyperlink ref="B24" r:id="rId15" xr:uid="{0D96432B-2D96-4319-B33C-9B573EBB27DA}"/>
    <hyperlink ref="B31" r:id="rId16" xr:uid="{61D9F79C-4B4B-4F02-98E0-13AFC000E2AB}"/>
    <hyperlink ref="B32" r:id="rId17" xr:uid="{B72273DD-0A09-43A7-8CDD-9035089F1189}"/>
    <hyperlink ref="B34" r:id="rId18" xr:uid="{E9A5DE7D-7925-41E4-A7FA-4E5F0A953DB1}"/>
    <hyperlink ref="B42" r:id="rId19" xr:uid="{019E2389-7CCA-4456-8EF3-4084AE936D7D}"/>
    <hyperlink ref="B38" r:id="rId20" xr:uid="{7D46129B-9976-4C93-A6FD-47D280CFDB8D}"/>
    <hyperlink ref="B37" r:id="rId21" xr:uid="{3B2807F8-E443-43D0-9417-D5B75C59E850}"/>
    <hyperlink ref="B36" r:id="rId22" xr:uid="{5646C439-6EE3-4860-8B30-05D50B9D0C81}"/>
    <hyperlink ref="B41" r:id="rId23" xr:uid="{60E8566B-0885-4833-BF92-0E0BED2979F5}"/>
    <hyperlink ref="B40" r:id="rId24" xr:uid="{6B263A39-01BA-49A7-A62E-56079C3D8990}"/>
    <hyperlink ref="B43" r:id="rId25" xr:uid="{F00BFCED-DC3E-43DF-A157-D3CFA6582DA2}"/>
    <hyperlink ref="B44" r:id="rId26" xr:uid="{4FCE6AF4-39CC-4C35-ADE8-3F6A9C74CB1A}"/>
    <hyperlink ref="B45" r:id="rId27" xr:uid="{5650DB54-69F4-4180-8FBB-FC06A8866F90}"/>
    <hyperlink ref="B35" r:id="rId28" xr:uid="{3740EA51-D721-4053-BE59-806D11EEA0BE}"/>
    <hyperlink ref="B46" r:id="rId29" xr:uid="{69217AA6-D398-4906-A892-6E9531BE5C2B}"/>
    <hyperlink ref="B27" r:id="rId30" display="14782" xr:uid="{9BFF8A85-EB13-410E-A55C-7FF78C8FED99}"/>
    <hyperlink ref="B28" r:id="rId31" display="18340" xr:uid="{BD960197-CC95-49DD-A553-24A339D937CF}"/>
    <hyperlink ref="B52" r:id="rId32" xr:uid="{BCB28BB4-3B93-435F-AE36-BFA6E879FAE2}"/>
    <hyperlink ref="B47" r:id="rId33" xr:uid="{7BEF57ED-BC28-49C7-A57D-9FFD012BE0BF}"/>
    <hyperlink ref="B48" r:id="rId34" xr:uid="{2AB52F70-ABEB-4BC0-87A3-11FA1AB0D7CF}"/>
    <hyperlink ref="B33" r:id="rId35" xr:uid="{167B9344-0EAE-4761-8E4E-7965FBF6ED1C}"/>
    <hyperlink ref="B39" r:id="rId36" xr:uid="{E9C8B35D-44E6-4FAB-8D12-5F570E77A06D}"/>
    <hyperlink ref="B49" r:id="rId37" xr:uid="{7AEF4C29-579F-45BB-9948-AFECD4D0FA86}"/>
    <hyperlink ref="B51" r:id="rId38" xr:uid="{B6E52F4B-B912-490A-B750-D6AFE524242D}"/>
    <hyperlink ref="B50" r:id="rId39" xr:uid="{8A15C835-0365-4BDC-8E56-24154BC7CAF3}"/>
  </hyperlinks>
  <pageMargins left="0.7" right="0.7" top="0.75" bottom="0.75" header="0.3" footer="0.3"/>
  <pageSetup orientation="portrait" horizontalDpi="4294967293" verticalDpi="0" r:id="rId4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B0D90-740B-4A5D-958F-E8968C8B76E7}">
  <dimension ref="A1:C58"/>
  <sheetViews>
    <sheetView workbookViewId="0"/>
  </sheetViews>
  <sheetFormatPr defaultRowHeight="15" x14ac:dyDescent="0.25"/>
  <cols>
    <col min="1" max="1" width="9.7109375" customWidth="1"/>
    <col min="2" max="2" width="12.5703125" customWidth="1"/>
    <col min="3" max="3" width="56.5703125" bestFit="1" customWidth="1"/>
  </cols>
  <sheetData>
    <row r="1" spans="1:3" x14ac:dyDescent="0.25">
      <c r="A1" s="8" t="s">
        <v>159</v>
      </c>
    </row>
    <row r="2" spans="1:3" x14ac:dyDescent="0.25">
      <c r="B2" t="s">
        <v>258</v>
      </c>
      <c r="C2" t="s">
        <v>75</v>
      </c>
    </row>
    <row r="3" spans="1:3" x14ac:dyDescent="0.25">
      <c r="B3" t="s">
        <v>259</v>
      </c>
      <c r="C3" t="s">
        <v>74</v>
      </c>
    </row>
    <row r="4" spans="1:3" x14ac:dyDescent="0.25">
      <c r="B4" t="s">
        <v>260</v>
      </c>
      <c r="C4" t="s">
        <v>76</v>
      </c>
    </row>
    <row r="5" spans="1:3" x14ac:dyDescent="0.25">
      <c r="B5" t="s">
        <v>261</v>
      </c>
      <c r="C5" t="s">
        <v>262</v>
      </c>
    </row>
    <row r="6" spans="1:3" x14ac:dyDescent="0.25">
      <c r="B6" t="s">
        <v>263</v>
      </c>
      <c r="C6" t="s">
        <v>77</v>
      </c>
    </row>
    <row r="7" spans="1:3" x14ac:dyDescent="0.25">
      <c r="A7" s="8" t="s">
        <v>160</v>
      </c>
    </row>
    <row r="8" spans="1:3" x14ac:dyDescent="0.25">
      <c r="B8" t="s">
        <v>264</v>
      </c>
      <c r="C8" t="s">
        <v>78</v>
      </c>
    </row>
    <row r="9" spans="1:3" x14ac:dyDescent="0.25">
      <c r="B9" t="s">
        <v>265</v>
      </c>
      <c r="C9" t="s">
        <v>79</v>
      </c>
    </row>
    <row r="10" spans="1:3" x14ac:dyDescent="0.25">
      <c r="B10" t="s">
        <v>266</v>
      </c>
      <c r="C10" t="s">
        <v>80</v>
      </c>
    </row>
    <row r="11" spans="1:3" x14ac:dyDescent="0.25">
      <c r="B11" t="s">
        <v>267</v>
      </c>
      <c r="C11" t="s">
        <v>81</v>
      </c>
    </row>
    <row r="12" spans="1:3" x14ac:dyDescent="0.25">
      <c r="B12" t="s">
        <v>268</v>
      </c>
      <c r="C12" t="s">
        <v>83</v>
      </c>
    </row>
    <row r="13" spans="1:3" x14ac:dyDescent="0.25">
      <c r="B13" t="s">
        <v>269</v>
      </c>
      <c r="C13" t="s">
        <v>82</v>
      </c>
    </row>
    <row r="14" spans="1:3" x14ac:dyDescent="0.25">
      <c r="A14" s="8" t="s">
        <v>161</v>
      </c>
    </row>
    <row r="15" spans="1:3" x14ac:dyDescent="0.25">
      <c r="B15" t="s">
        <v>270</v>
      </c>
      <c r="C15" t="s">
        <v>271</v>
      </c>
    </row>
    <row r="16" spans="1:3" x14ac:dyDescent="0.25">
      <c r="B16" t="s">
        <v>272</v>
      </c>
      <c r="C16" t="s">
        <v>84</v>
      </c>
    </row>
    <row r="17" spans="1:3" x14ac:dyDescent="0.25">
      <c r="B17" t="s">
        <v>273</v>
      </c>
      <c r="C17" t="s">
        <v>85</v>
      </c>
    </row>
    <row r="18" spans="1:3" x14ac:dyDescent="0.25">
      <c r="B18" t="s">
        <v>274</v>
      </c>
      <c r="C18" t="s">
        <v>86</v>
      </c>
    </row>
    <row r="19" spans="1:3" x14ac:dyDescent="0.25">
      <c r="B19" t="s">
        <v>275</v>
      </c>
      <c r="C19" t="s">
        <v>87</v>
      </c>
    </row>
    <row r="20" spans="1:3" x14ac:dyDescent="0.25">
      <c r="B20" t="s">
        <v>276</v>
      </c>
      <c r="C20" t="s">
        <v>88</v>
      </c>
    </row>
    <row r="21" spans="1:3" x14ac:dyDescent="0.25">
      <c r="A21" s="8" t="s">
        <v>162</v>
      </c>
    </row>
    <row r="22" spans="1:3" x14ac:dyDescent="0.25">
      <c r="B22" t="s">
        <v>277</v>
      </c>
      <c r="C22" t="s">
        <v>278</v>
      </c>
    </row>
    <row r="23" spans="1:3" x14ac:dyDescent="0.25">
      <c r="B23" t="s">
        <v>279</v>
      </c>
      <c r="C23" t="s">
        <v>89</v>
      </c>
    </row>
    <row r="24" spans="1:3" x14ac:dyDescent="0.25">
      <c r="B24" t="s">
        <v>280</v>
      </c>
      <c r="C24" t="s">
        <v>90</v>
      </c>
    </row>
    <row r="25" spans="1:3" x14ac:dyDescent="0.25">
      <c r="B25" t="s">
        <v>281</v>
      </c>
      <c r="C25" t="s">
        <v>89</v>
      </c>
    </row>
    <row r="26" spans="1:3" x14ac:dyDescent="0.25">
      <c r="B26" t="s">
        <v>282</v>
      </c>
      <c r="C26" t="s">
        <v>92</v>
      </c>
    </row>
    <row r="27" spans="1:3" x14ac:dyDescent="0.25">
      <c r="B27" t="s">
        <v>283</v>
      </c>
      <c r="C27" t="s">
        <v>93</v>
      </c>
    </row>
    <row r="28" spans="1:3" x14ac:dyDescent="0.25">
      <c r="B28" t="s">
        <v>284</v>
      </c>
      <c r="C28" t="s">
        <v>94</v>
      </c>
    </row>
    <row r="29" spans="1:3" x14ac:dyDescent="0.25">
      <c r="B29" t="s">
        <v>285</v>
      </c>
      <c r="C29" t="s">
        <v>95</v>
      </c>
    </row>
    <row r="30" spans="1:3" x14ac:dyDescent="0.25">
      <c r="B30" t="s">
        <v>286</v>
      </c>
      <c r="C30" t="s">
        <v>96</v>
      </c>
    </row>
    <row r="31" spans="1:3" x14ac:dyDescent="0.25">
      <c r="B31" t="s">
        <v>287</v>
      </c>
      <c r="C31" t="s">
        <v>97</v>
      </c>
    </row>
    <row r="32" spans="1:3" x14ac:dyDescent="0.25">
      <c r="B32" t="s">
        <v>288</v>
      </c>
      <c r="C32" t="s">
        <v>98</v>
      </c>
    </row>
    <row r="33" spans="1:3" x14ac:dyDescent="0.25">
      <c r="B33" t="s">
        <v>289</v>
      </c>
      <c r="C33" t="s">
        <v>100</v>
      </c>
    </row>
    <row r="34" spans="1:3" x14ac:dyDescent="0.25">
      <c r="B34" t="s">
        <v>290</v>
      </c>
      <c r="C34" t="s">
        <v>99</v>
      </c>
    </row>
    <row r="35" spans="1:3" x14ac:dyDescent="0.25">
      <c r="B35" t="s">
        <v>291</v>
      </c>
      <c r="C35" t="s">
        <v>101</v>
      </c>
    </row>
    <row r="36" spans="1:3" x14ac:dyDescent="0.25">
      <c r="A36" s="8" t="s">
        <v>163</v>
      </c>
    </row>
    <row r="37" spans="1:3" x14ac:dyDescent="0.25">
      <c r="B37" t="s">
        <v>292</v>
      </c>
      <c r="C37" t="s">
        <v>102</v>
      </c>
    </row>
    <row r="38" spans="1:3" x14ac:dyDescent="0.25">
      <c r="B38" t="s">
        <v>293</v>
      </c>
      <c r="C38" t="s">
        <v>103</v>
      </c>
    </row>
    <row r="39" spans="1:3" x14ac:dyDescent="0.25">
      <c r="B39" t="s">
        <v>294</v>
      </c>
      <c r="C39" t="s">
        <v>104</v>
      </c>
    </row>
    <row r="40" spans="1:3" x14ac:dyDescent="0.25">
      <c r="B40" t="s">
        <v>295</v>
      </c>
      <c r="C40" t="s">
        <v>107</v>
      </c>
    </row>
    <row r="41" spans="1:3" x14ac:dyDescent="0.25">
      <c r="A41" s="8" t="s">
        <v>164</v>
      </c>
    </row>
    <row r="42" spans="1:3" x14ac:dyDescent="0.25">
      <c r="B42" t="s">
        <v>296</v>
      </c>
      <c r="C42" t="s">
        <v>105</v>
      </c>
    </row>
    <row r="43" spans="1:3" x14ac:dyDescent="0.25">
      <c r="B43" t="s">
        <v>297</v>
      </c>
      <c r="C43" t="s">
        <v>97</v>
      </c>
    </row>
    <row r="44" spans="1:3" x14ac:dyDescent="0.25">
      <c r="B44" t="s">
        <v>298</v>
      </c>
      <c r="C44" t="s">
        <v>106</v>
      </c>
    </row>
    <row r="45" spans="1:3" x14ac:dyDescent="0.25">
      <c r="B45" t="s">
        <v>299</v>
      </c>
      <c r="C45" t="s">
        <v>107</v>
      </c>
    </row>
    <row r="46" spans="1:3" x14ac:dyDescent="0.25">
      <c r="A46" s="8" t="s">
        <v>165</v>
      </c>
    </row>
    <row r="47" spans="1:3" x14ac:dyDescent="0.25">
      <c r="B47" t="s">
        <v>300</v>
      </c>
      <c r="C47" t="s">
        <v>108</v>
      </c>
    </row>
    <row r="48" spans="1:3" x14ac:dyDescent="0.25">
      <c r="B48" t="s">
        <v>301</v>
      </c>
      <c r="C48" t="s">
        <v>109</v>
      </c>
    </row>
    <row r="49" spans="1:3" x14ac:dyDescent="0.25">
      <c r="B49" t="s">
        <v>302</v>
      </c>
      <c r="C49" t="s">
        <v>110</v>
      </c>
    </row>
    <row r="50" spans="1:3" x14ac:dyDescent="0.25">
      <c r="B50" t="s">
        <v>303</v>
      </c>
      <c r="C50" t="s">
        <v>111</v>
      </c>
    </row>
    <row r="51" spans="1:3" x14ac:dyDescent="0.25">
      <c r="B51" t="s">
        <v>304</v>
      </c>
      <c r="C51" t="s">
        <v>112</v>
      </c>
    </row>
    <row r="52" spans="1:3" x14ac:dyDescent="0.25">
      <c r="A52" s="8" t="s">
        <v>166</v>
      </c>
    </row>
    <row r="53" spans="1:3" x14ac:dyDescent="0.25">
      <c r="B53" t="s">
        <v>305</v>
      </c>
      <c r="C53" t="s">
        <v>74</v>
      </c>
    </row>
    <row r="54" spans="1:3" x14ac:dyDescent="0.25">
      <c r="B54" t="s">
        <v>306</v>
      </c>
      <c r="C54" t="s">
        <v>171</v>
      </c>
    </row>
    <row r="55" spans="1:3" x14ac:dyDescent="0.25">
      <c r="B55" t="s">
        <v>307</v>
      </c>
      <c r="C55" t="s">
        <v>172</v>
      </c>
    </row>
    <row r="56" spans="1:3" x14ac:dyDescent="0.25">
      <c r="B56" t="s">
        <v>308</v>
      </c>
      <c r="C56" t="s">
        <v>173</v>
      </c>
    </row>
    <row r="57" spans="1:3" x14ac:dyDescent="0.25">
      <c r="B57" t="s">
        <v>309</v>
      </c>
      <c r="C57" t="s">
        <v>174</v>
      </c>
    </row>
    <row r="58" spans="1:3" x14ac:dyDescent="0.25">
      <c r="B58" t="s">
        <v>310</v>
      </c>
      <c r="C58" t="s">
        <v>175</v>
      </c>
    </row>
  </sheetData>
  <pageMargins left="0.7" right="0.7" top="0.75" bottom="0.75" header="0.3" footer="0.3"/>
  <pageSetup orientation="portrait" horizontalDpi="4294967293" verticalDpi="0" r:id="rId1"/>
  <rowBreaks count="1" manualBreakCount="1">
    <brk id="4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C17C3-8FB1-44C3-86B4-6BC55E8FBCA4}">
  <sheetPr>
    <pageSetUpPr fitToPage="1"/>
  </sheetPr>
  <dimension ref="A1:J60"/>
  <sheetViews>
    <sheetView workbookViewId="0"/>
  </sheetViews>
  <sheetFormatPr defaultRowHeight="15" x14ac:dyDescent="0.25"/>
  <cols>
    <col min="2" max="2" width="15.5703125" bestFit="1" customWidth="1"/>
    <col min="3" max="3" width="10.28515625" customWidth="1"/>
    <col min="6" max="6" width="11.140625" customWidth="1"/>
    <col min="7" max="7" width="16.28515625" customWidth="1"/>
    <col min="8" max="8" width="18" customWidth="1"/>
    <col min="9" max="9" width="15.28515625" customWidth="1"/>
    <col min="10" max="10" width="13" customWidth="1"/>
  </cols>
  <sheetData>
    <row r="1" spans="1:10" x14ac:dyDescent="0.25">
      <c r="C1" s="11" t="s">
        <v>159</v>
      </c>
      <c r="D1" s="11" t="s">
        <v>160</v>
      </c>
      <c r="E1" s="11" t="s">
        <v>161</v>
      </c>
      <c r="F1" s="11" t="s">
        <v>162</v>
      </c>
      <c r="G1" s="11" t="s">
        <v>163</v>
      </c>
      <c r="H1" s="11" t="s">
        <v>164</v>
      </c>
      <c r="I1" s="11" t="s">
        <v>165</v>
      </c>
      <c r="J1" s="11" t="s">
        <v>166</v>
      </c>
    </row>
    <row r="2" spans="1:10" x14ac:dyDescent="0.25">
      <c r="A2" s="8" t="s">
        <v>168</v>
      </c>
      <c r="C2" s="5"/>
      <c r="D2" s="5"/>
      <c r="E2" s="5"/>
      <c r="F2" s="5"/>
      <c r="G2" s="5"/>
      <c r="H2" s="5"/>
      <c r="I2" s="5"/>
      <c r="J2" s="5"/>
    </row>
    <row r="3" spans="1:10" x14ac:dyDescent="0.25">
      <c r="B3" t="s">
        <v>169</v>
      </c>
      <c r="C3" s="10">
        <v>1</v>
      </c>
      <c r="D3" s="10">
        <v>1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/>
    </row>
    <row r="4" spans="1:10" x14ac:dyDescent="0.25">
      <c r="B4" t="s">
        <v>170</v>
      </c>
      <c r="C4" s="10"/>
      <c r="D4" s="10"/>
      <c r="E4" s="10"/>
      <c r="F4" s="10"/>
      <c r="G4" s="10"/>
      <c r="H4" s="10"/>
      <c r="I4" s="10"/>
      <c r="J4" s="10">
        <v>1</v>
      </c>
    </row>
    <row r="5" spans="1:10" x14ac:dyDescent="0.25">
      <c r="A5" s="8" t="s">
        <v>176</v>
      </c>
      <c r="C5" s="5"/>
      <c r="D5" s="5"/>
      <c r="E5" s="5"/>
      <c r="F5" s="5"/>
      <c r="G5" s="5"/>
      <c r="H5" s="5"/>
      <c r="I5" s="5"/>
      <c r="J5" s="5"/>
    </row>
    <row r="6" spans="1:10" x14ac:dyDescent="0.25">
      <c r="B6" t="s">
        <v>121</v>
      </c>
      <c r="C6" s="10"/>
      <c r="D6" s="10"/>
      <c r="E6" s="10"/>
      <c r="F6" s="10">
        <v>1</v>
      </c>
      <c r="G6" s="10">
        <v>1</v>
      </c>
      <c r="H6" s="10">
        <v>1</v>
      </c>
      <c r="I6" s="10"/>
      <c r="J6" s="10"/>
    </row>
    <row r="7" spans="1:10" x14ac:dyDescent="0.25">
      <c r="B7" t="s">
        <v>123</v>
      </c>
      <c r="C7" s="10"/>
      <c r="D7" s="10"/>
      <c r="E7" s="10"/>
      <c r="F7" s="10">
        <v>1</v>
      </c>
      <c r="G7" s="10">
        <v>1</v>
      </c>
      <c r="H7" s="10">
        <v>1</v>
      </c>
      <c r="I7" s="10"/>
      <c r="J7" s="10"/>
    </row>
    <row r="8" spans="1:10" x14ac:dyDescent="0.25">
      <c r="B8" t="s">
        <v>117</v>
      </c>
      <c r="C8" s="10"/>
      <c r="D8" s="10"/>
      <c r="E8" s="10"/>
      <c r="F8" s="10">
        <v>1</v>
      </c>
      <c r="G8" s="10">
        <v>1</v>
      </c>
      <c r="H8" s="10">
        <v>1</v>
      </c>
      <c r="I8" s="10"/>
      <c r="J8" s="10"/>
    </row>
    <row r="9" spans="1:10" x14ac:dyDescent="0.25">
      <c r="B9" t="s">
        <v>119</v>
      </c>
      <c r="C9" s="10"/>
      <c r="D9" s="10"/>
      <c r="E9" s="10"/>
      <c r="F9" s="10">
        <v>1</v>
      </c>
      <c r="G9" s="10"/>
      <c r="H9" s="10"/>
      <c r="I9" s="10">
        <v>1</v>
      </c>
      <c r="J9" s="10"/>
    </row>
    <row r="10" spans="1:10" x14ac:dyDescent="0.25">
      <c r="B10" t="s">
        <v>118</v>
      </c>
      <c r="C10" s="10"/>
      <c r="D10" s="10"/>
      <c r="E10" s="10"/>
      <c r="F10" s="10"/>
      <c r="G10" s="10"/>
      <c r="H10" s="10"/>
      <c r="I10" s="10">
        <v>1</v>
      </c>
      <c r="J10" s="10"/>
    </row>
    <row r="11" spans="1:10" x14ac:dyDescent="0.25">
      <c r="A11" s="8" t="s">
        <v>155</v>
      </c>
      <c r="C11" s="5"/>
      <c r="D11" s="5"/>
      <c r="E11" s="5"/>
      <c r="F11" s="5"/>
      <c r="G11" s="5"/>
      <c r="H11" s="5"/>
      <c r="I11" s="5"/>
      <c r="J11" s="5"/>
    </row>
    <row r="12" spans="1:10" x14ac:dyDescent="0.25">
      <c r="B12" t="s">
        <v>157</v>
      </c>
      <c r="C12" s="10">
        <v>1</v>
      </c>
      <c r="D12" s="10">
        <v>1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  <c r="J12" s="10">
        <v>1</v>
      </c>
    </row>
    <row r="13" spans="1:10" x14ac:dyDescent="0.25">
      <c r="B13" t="s">
        <v>156</v>
      </c>
      <c r="C13" s="10"/>
      <c r="D13" s="10"/>
      <c r="E13" s="10"/>
      <c r="F13" s="10"/>
      <c r="G13" s="10"/>
      <c r="H13" s="10"/>
      <c r="I13" s="10"/>
      <c r="J13" s="10">
        <v>1</v>
      </c>
    </row>
    <row r="14" spans="1:10" x14ac:dyDescent="0.25">
      <c r="A14" s="8" t="s">
        <v>158</v>
      </c>
      <c r="C14" s="5"/>
      <c r="D14" s="5"/>
      <c r="E14" s="5"/>
      <c r="F14" s="5"/>
      <c r="G14" s="5"/>
      <c r="H14" s="5"/>
      <c r="I14" s="5"/>
      <c r="J14" s="5"/>
    </row>
    <row r="15" spans="1:10" x14ac:dyDescent="0.25">
      <c r="B15" t="s">
        <v>167</v>
      </c>
      <c r="C15" s="10"/>
      <c r="D15" s="10"/>
      <c r="E15" s="10"/>
      <c r="F15" s="10"/>
      <c r="G15" s="10"/>
      <c r="H15" s="10"/>
      <c r="I15" s="10"/>
      <c r="J15" s="10">
        <v>1</v>
      </c>
    </row>
    <row r="16" spans="1:10" x14ac:dyDescent="0.25">
      <c r="C16" s="5"/>
      <c r="D16" s="5"/>
      <c r="E16" s="5"/>
      <c r="F16" s="5"/>
      <c r="G16" s="5"/>
      <c r="H16" s="5"/>
      <c r="I16" s="5"/>
      <c r="J16" s="5"/>
    </row>
    <row r="17" spans="1:10" x14ac:dyDescent="0.25">
      <c r="A17" s="8" t="s">
        <v>143</v>
      </c>
      <c r="C17" s="5"/>
      <c r="D17" s="5"/>
      <c r="E17" s="5"/>
      <c r="F17" s="5"/>
      <c r="G17" s="5"/>
      <c r="H17" s="5"/>
      <c r="I17" s="5"/>
      <c r="J17" s="5"/>
    </row>
    <row r="18" spans="1:10" x14ac:dyDescent="0.25">
      <c r="B18" t="s">
        <v>144</v>
      </c>
      <c r="C18" s="10"/>
      <c r="D18" s="10">
        <v>1</v>
      </c>
      <c r="E18" s="10"/>
      <c r="F18" s="10"/>
      <c r="G18" s="10"/>
      <c r="H18" s="10"/>
      <c r="I18" s="10">
        <v>1</v>
      </c>
      <c r="J18" s="10"/>
    </row>
    <row r="19" spans="1:10" x14ac:dyDescent="0.25">
      <c r="B19" t="s">
        <v>141</v>
      </c>
      <c r="C19" s="10"/>
      <c r="D19" s="10"/>
      <c r="E19" s="10"/>
      <c r="F19" s="10">
        <v>1</v>
      </c>
      <c r="G19" s="10"/>
      <c r="H19" s="10"/>
      <c r="I19" s="10"/>
      <c r="J19" s="10"/>
    </row>
    <row r="20" spans="1:10" x14ac:dyDescent="0.25">
      <c r="A20" s="8" t="s">
        <v>139</v>
      </c>
      <c r="C20" s="5"/>
      <c r="D20" s="5"/>
      <c r="E20" s="5"/>
      <c r="F20" s="5"/>
      <c r="G20" s="5"/>
      <c r="H20" s="5"/>
      <c r="I20" s="5"/>
      <c r="J20" s="5"/>
    </row>
    <row r="21" spans="1:10" x14ac:dyDescent="0.25">
      <c r="B21" t="s">
        <v>140</v>
      </c>
      <c r="C21" s="10">
        <v>1</v>
      </c>
      <c r="D21" s="10">
        <v>1</v>
      </c>
      <c r="E21" s="10">
        <v>1</v>
      </c>
      <c r="F21" s="10">
        <v>1</v>
      </c>
      <c r="G21" s="10">
        <v>1</v>
      </c>
      <c r="H21" s="10">
        <v>1</v>
      </c>
      <c r="I21" s="10">
        <v>1</v>
      </c>
      <c r="J21" s="10">
        <v>1</v>
      </c>
    </row>
    <row r="22" spans="1:10" x14ac:dyDescent="0.25">
      <c r="B22" t="s">
        <v>142</v>
      </c>
      <c r="C22" s="10"/>
      <c r="D22" s="10"/>
      <c r="E22" s="10"/>
      <c r="F22" s="10">
        <v>1</v>
      </c>
      <c r="G22" s="10">
        <v>1</v>
      </c>
      <c r="H22" s="10">
        <v>1</v>
      </c>
      <c r="I22" s="10"/>
      <c r="J22" s="10"/>
    </row>
    <row r="23" spans="1:10" x14ac:dyDescent="0.25">
      <c r="B23" t="s">
        <v>146</v>
      </c>
      <c r="C23" s="10"/>
      <c r="D23" s="10"/>
      <c r="E23" s="10"/>
      <c r="F23" s="10">
        <v>1</v>
      </c>
      <c r="G23" s="10">
        <v>1</v>
      </c>
      <c r="H23" s="10">
        <v>1</v>
      </c>
      <c r="I23" s="10"/>
      <c r="J23" s="10"/>
    </row>
    <row r="24" spans="1:10" x14ac:dyDescent="0.25">
      <c r="B24" t="s">
        <v>145</v>
      </c>
      <c r="C24" s="10"/>
      <c r="D24" s="10"/>
      <c r="E24" s="10"/>
      <c r="F24" s="10"/>
      <c r="G24" s="10"/>
      <c r="H24" s="10"/>
      <c r="I24" s="10"/>
      <c r="J24" s="10">
        <v>1</v>
      </c>
    </row>
    <row r="25" spans="1:10" x14ac:dyDescent="0.25">
      <c r="B25" t="s">
        <v>147</v>
      </c>
      <c r="C25" s="10"/>
      <c r="D25" s="10"/>
      <c r="E25" s="10"/>
      <c r="F25" s="10"/>
      <c r="G25" s="10"/>
      <c r="H25" s="10"/>
      <c r="I25" s="10"/>
      <c r="J25" s="10">
        <v>1</v>
      </c>
    </row>
    <row r="26" spans="1:10" x14ac:dyDescent="0.25">
      <c r="A26" s="8" t="s">
        <v>153</v>
      </c>
      <c r="C26" s="5"/>
      <c r="D26" s="5"/>
      <c r="E26" s="5"/>
      <c r="F26" s="5"/>
      <c r="G26" s="5"/>
      <c r="H26" s="5"/>
      <c r="I26" s="5"/>
      <c r="J26" s="5"/>
    </row>
    <row r="27" spans="1:10" x14ac:dyDescent="0.25">
      <c r="B27" t="s">
        <v>154</v>
      </c>
      <c r="C27" s="10"/>
      <c r="D27" s="10"/>
      <c r="E27" s="10">
        <v>1</v>
      </c>
      <c r="F27" s="10"/>
      <c r="G27" s="10"/>
      <c r="H27" s="10"/>
      <c r="I27" s="10"/>
      <c r="J27" s="10"/>
    </row>
    <row r="28" spans="1:10" x14ac:dyDescent="0.25">
      <c r="A28" s="8" t="s">
        <v>149</v>
      </c>
      <c r="C28" s="5"/>
      <c r="D28" s="5"/>
      <c r="E28" s="5"/>
      <c r="F28" s="5"/>
      <c r="G28" s="5"/>
      <c r="H28" s="5"/>
      <c r="I28" s="5"/>
      <c r="J28" s="5"/>
    </row>
    <row r="29" spans="1:10" x14ac:dyDescent="0.25">
      <c r="B29" t="s">
        <v>138</v>
      </c>
      <c r="C29" s="10"/>
      <c r="D29" s="10"/>
      <c r="E29" s="10">
        <v>1</v>
      </c>
      <c r="F29" s="10"/>
      <c r="G29" s="10"/>
      <c r="H29" s="10"/>
      <c r="I29" s="10"/>
      <c r="J29" s="10"/>
    </row>
    <row r="30" spans="1:10" x14ac:dyDescent="0.25">
      <c r="A30" s="8" t="s">
        <v>148</v>
      </c>
      <c r="C30" s="5"/>
      <c r="D30" s="5"/>
      <c r="E30" s="5"/>
      <c r="F30" s="5"/>
      <c r="G30" s="5"/>
      <c r="H30" s="5"/>
      <c r="I30" s="5"/>
      <c r="J30" s="5"/>
    </row>
    <row r="31" spans="1:10" x14ac:dyDescent="0.25">
      <c r="B31" t="s">
        <v>150</v>
      </c>
      <c r="C31" s="10"/>
      <c r="D31" s="10"/>
      <c r="E31" s="10"/>
      <c r="F31" s="10"/>
      <c r="G31" s="10">
        <v>1</v>
      </c>
      <c r="H31" s="10"/>
      <c r="I31" s="10"/>
      <c r="J31" s="10"/>
    </row>
    <row r="32" spans="1:10" x14ac:dyDescent="0.25">
      <c r="A32" s="8" t="s">
        <v>151</v>
      </c>
      <c r="C32" s="5"/>
      <c r="D32" s="5"/>
      <c r="E32" s="5"/>
      <c r="F32" s="5"/>
      <c r="G32" s="5"/>
      <c r="H32" s="5"/>
      <c r="I32" s="5"/>
      <c r="J32" s="5"/>
    </row>
    <row r="33" spans="1:10" x14ac:dyDescent="0.25">
      <c r="B33" t="s">
        <v>152</v>
      </c>
      <c r="C33" s="10"/>
      <c r="D33" s="10"/>
      <c r="E33" s="10"/>
      <c r="F33" s="10">
        <v>1</v>
      </c>
      <c r="G33" s="10"/>
      <c r="H33" s="10">
        <v>1</v>
      </c>
      <c r="I33" s="10"/>
      <c r="J33" s="10"/>
    </row>
    <row r="34" spans="1:10" x14ac:dyDescent="0.25">
      <c r="A34" s="8" t="s">
        <v>133</v>
      </c>
      <c r="C34" s="5"/>
      <c r="D34" s="5"/>
      <c r="E34" s="5"/>
      <c r="F34" s="5"/>
      <c r="G34" s="5"/>
      <c r="H34" s="5"/>
      <c r="I34" s="5"/>
      <c r="J34" s="5"/>
    </row>
    <row r="35" spans="1:10" x14ac:dyDescent="0.25">
      <c r="B35" t="s">
        <v>134</v>
      </c>
      <c r="C35" s="10"/>
      <c r="D35" s="10"/>
      <c r="E35" s="10"/>
      <c r="F35" s="10"/>
      <c r="G35" s="10"/>
      <c r="H35" s="10"/>
      <c r="I35" s="10">
        <v>1</v>
      </c>
      <c r="J35" s="10"/>
    </row>
    <row r="36" spans="1:10" x14ac:dyDescent="0.25">
      <c r="B36" t="s">
        <v>135</v>
      </c>
      <c r="C36" s="10">
        <v>1</v>
      </c>
      <c r="D36" s="10"/>
      <c r="E36" s="10"/>
      <c r="F36" s="10"/>
      <c r="G36" s="10"/>
      <c r="H36" s="10"/>
      <c r="I36" s="10"/>
      <c r="J36" s="10"/>
    </row>
    <row r="37" spans="1:10" x14ac:dyDescent="0.25">
      <c r="A37" s="8" t="s">
        <v>136</v>
      </c>
      <c r="C37" s="5"/>
      <c r="D37" s="5"/>
      <c r="E37" s="5"/>
      <c r="F37" s="5"/>
      <c r="G37" s="5"/>
      <c r="H37" s="5"/>
      <c r="I37" s="5"/>
      <c r="J37" s="5"/>
    </row>
    <row r="38" spans="1:10" x14ac:dyDescent="0.25">
      <c r="B38" t="s">
        <v>137</v>
      </c>
      <c r="C38" s="10"/>
      <c r="D38" s="10"/>
      <c r="E38" s="10"/>
      <c r="F38" s="10"/>
      <c r="G38" s="10"/>
      <c r="H38" s="10"/>
      <c r="I38" s="10">
        <v>1</v>
      </c>
      <c r="J38" s="10"/>
    </row>
    <row r="39" spans="1:10" x14ac:dyDescent="0.25">
      <c r="A39" s="8" t="s">
        <v>124</v>
      </c>
      <c r="C39" s="5"/>
      <c r="D39" s="5"/>
      <c r="E39" s="5"/>
      <c r="F39" s="5"/>
      <c r="G39" s="5"/>
      <c r="H39" s="5"/>
      <c r="I39" s="5"/>
      <c r="J39" s="5"/>
    </row>
    <row r="40" spans="1:10" x14ac:dyDescent="0.25">
      <c r="B40" t="s">
        <v>125</v>
      </c>
      <c r="C40" s="10"/>
      <c r="D40" s="10"/>
      <c r="E40" s="10"/>
      <c r="F40" s="10"/>
      <c r="G40" s="10">
        <v>1</v>
      </c>
      <c r="H40" s="10"/>
      <c r="I40" s="10">
        <v>1</v>
      </c>
      <c r="J40" s="10"/>
    </row>
    <row r="41" spans="1:10" x14ac:dyDescent="0.25">
      <c r="B41" t="s">
        <v>126</v>
      </c>
      <c r="C41" s="10"/>
      <c r="D41" s="10"/>
      <c r="E41" s="10"/>
      <c r="F41" s="10">
        <v>1</v>
      </c>
      <c r="G41" s="10"/>
      <c r="H41" s="10"/>
      <c r="I41" s="10"/>
      <c r="J41" s="10"/>
    </row>
    <row r="42" spans="1:10" x14ac:dyDescent="0.25">
      <c r="B42" t="s">
        <v>127</v>
      </c>
      <c r="C42" s="10"/>
      <c r="D42" s="10"/>
      <c r="E42" s="10"/>
      <c r="F42" s="10">
        <v>1</v>
      </c>
      <c r="G42" s="10"/>
      <c r="H42" s="10"/>
      <c r="I42" s="10"/>
      <c r="J42" s="10"/>
    </row>
    <row r="43" spans="1:10" x14ac:dyDescent="0.25">
      <c r="B43" t="s">
        <v>128</v>
      </c>
      <c r="C43" s="10"/>
      <c r="D43" s="10"/>
      <c r="E43" s="10"/>
      <c r="F43" s="10">
        <v>1</v>
      </c>
      <c r="G43" s="10"/>
      <c r="H43" s="10"/>
      <c r="I43" s="10"/>
      <c r="J43" s="10"/>
    </row>
    <row r="44" spans="1:10" x14ac:dyDescent="0.25">
      <c r="B44" t="s">
        <v>129</v>
      </c>
      <c r="C44" s="10"/>
      <c r="D44" s="10"/>
      <c r="E44" s="10"/>
      <c r="F44" s="10"/>
      <c r="G44" s="10"/>
      <c r="H44" s="10"/>
      <c r="I44" s="10">
        <v>1</v>
      </c>
      <c r="J44" s="10"/>
    </row>
    <row r="45" spans="1:10" x14ac:dyDescent="0.25">
      <c r="B45" t="s">
        <v>130</v>
      </c>
      <c r="C45" s="10"/>
      <c r="D45" s="10"/>
      <c r="E45" s="10">
        <v>1</v>
      </c>
      <c r="F45" s="10">
        <v>1</v>
      </c>
      <c r="G45" s="10"/>
      <c r="H45" s="10"/>
      <c r="I45" s="10"/>
      <c r="J45" s="10"/>
    </row>
    <row r="46" spans="1:10" x14ac:dyDescent="0.25">
      <c r="B46" t="s">
        <v>131</v>
      </c>
      <c r="C46" s="10"/>
      <c r="D46" s="10"/>
      <c r="E46" s="10"/>
      <c r="F46" s="10"/>
      <c r="G46" s="10"/>
      <c r="H46" s="10">
        <v>2</v>
      </c>
      <c r="I46" s="10"/>
      <c r="J46" s="10">
        <v>1</v>
      </c>
    </row>
    <row r="47" spans="1:10" x14ac:dyDescent="0.25">
      <c r="B47" t="s">
        <v>132</v>
      </c>
      <c r="C47" s="10">
        <v>1</v>
      </c>
      <c r="D47" s="10"/>
      <c r="E47" s="10">
        <v>4</v>
      </c>
      <c r="F47" s="10"/>
      <c r="G47" s="10"/>
      <c r="H47" s="10"/>
      <c r="I47" s="10"/>
      <c r="J47" s="10"/>
    </row>
    <row r="50" spans="1:10" x14ac:dyDescent="0.25">
      <c r="A50" s="8" t="s">
        <v>257</v>
      </c>
      <c r="C50" s="5"/>
      <c r="D50" s="5"/>
      <c r="E50" s="5"/>
      <c r="F50" s="5"/>
      <c r="G50" s="5"/>
      <c r="H50" s="5"/>
      <c r="I50" s="5"/>
      <c r="J50" s="5"/>
    </row>
    <row r="51" spans="1:10" x14ac:dyDescent="0.25">
      <c r="B51" t="s">
        <v>113</v>
      </c>
      <c r="C51" s="10"/>
      <c r="D51" s="10">
        <v>4</v>
      </c>
      <c r="E51" s="10">
        <v>2</v>
      </c>
      <c r="F51" s="10">
        <v>2</v>
      </c>
      <c r="G51" s="10"/>
      <c r="H51" s="10"/>
      <c r="I51" s="10"/>
      <c r="J51" s="10">
        <v>2</v>
      </c>
    </row>
    <row r="52" spans="1:10" x14ac:dyDescent="0.25">
      <c r="B52" t="s">
        <v>114</v>
      </c>
      <c r="C52" s="10"/>
      <c r="D52" s="10">
        <v>1</v>
      </c>
      <c r="E52" s="10"/>
      <c r="F52" s="10">
        <v>3</v>
      </c>
      <c r="G52" s="10"/>
      <c r="H52" s="10"/>
      <c r="I52" s="10"/>
      <c r="J52" s="10">
        <v>1</v>
      </c>
    </row>
    <row r="53" spans="1:10" x14ac:dyDescent="0.25">
      <c r="B53" t="s">
        <v>115</v>
      </c>
      <c r="C53" s="10"/>
      <c r="D53" s="10">
        <v>1</v>
      </c>
      <c r="E53" s="10">
        <v>1</v>
      </c>
      <c r="F53" s="10"/>
      <c r="G53" s="10"/>
      <c r="H53" s="10"/>
      <c r="I53" s="10"/>
      <c r="J53" s="10"/>
    </row>
    <row r="54" spans="1:10" x14ac:dyDescent="0.25">
      <c r="B54" t="s">
        <v>116</v>
      </c>
      <c r="C54" s="10">
        <v>2</v>
      </c>
      <c r="D54" s="10"/>
      <c r="E54" s="10">
        <v>1</v>
      </c>
      <c r="F54" s="10">
        <v>5</v>
      </c>
      <c r="G54" s="10"/>
      <c r="H54" s="10"/>
      <c r="I54" s="10"/>
      <c r="J54" s="10"/>
    </row>
    <row r="55" spans="1:10" x14ac:dyDescent="0.25">
      <c r="B55" t="s">
        <v>117</v>
      </c>
      <c r="C55" s="10"/>
      <c r="D55" s="10">
        <v>1</v>
      </c>
      <c r="E55" s="10"/>
      <c r="F55" s="10">
        <v>4</v>
      </c>
      <c r="G55" s="10"/>
      <c r="H55" s="10"/>
      <c r="I55" s="10"/>
      <c r="J55" s="10">
        <v>1</v>
      </c>
    </row>
    <row r="56" spans="1:10" x14ac:dyDescent="0.25">
      <c r="B56" t="s">
        <v>118</v>
      </c>
      <c r="C56" s="10"/>
      <c r="D56" s="10"/>
      <c r="E56" s="10">
        <v>1</v>
      </c>
      <c r="F56" s="10">
        <v>2</v>
      </c>
      <c r="G56" s="10">
        <v>1</v>
      </c>
      <c r="H56" s="10">
        <v>1</v>
      </c>
      <c r="I56" s="10"/>
      <c r="J56" s="10">
        <v>1</v>
      </c>
    </row>
    <row r="57" spans="1:10" x14ac:dyDescent="0.25">
      <c r="B57" t="s">
        <v>119</v>
      </c>
      <c r="C57" s="10">
        <v>5</v>
      </c>
      <c r="D57" s="10">
        <v>2</v>
      </c>
      <c r="E57" s="10">
        <v>2</v>
      </c>
      <c r="F57" s="10">
        <v>4</v>
      </c>
      <c r="G57" s="10"/>
      <c r="H57" s="10">
        <v>2</v>
      </c>
      <c r="I57" s="10">
        <v>1</v>
      </c>
      <c r="J57" s="10">
        <v>2</v>
      </c>
    </row>
    <row r="58" spans="1:10" x14ac:dyDescent="0.25">
      <c r="B58" t="s">
        <v>120</v>
      </c>
      <c r="C58" s="10">
        <v>4</v>
      </c>
      <c r="D58" s="10">
        <v>11</v>
      </c>
      <c r="E58" s="10">
        <v>5</v>
      </c>
      <c r="F58" s="10">
        <v>6</v>
      </c>
      <c r="G58" s="10">
        <v>1</v>
      </c>
      <c r="H58" s="10"/>
      <c r="I58" s="10"/>
      <c r="J58" s="10">
        <v>5</v>
      </c>
    </row>
    <row r="59" spans="1:10" x14ac:dyDescent="0.25">
      <c r="B59" t="s">
        <v>121</v>
      </c>
      <c r="C59" s="10"/>
      <c r="D59" s="10"/>
      <c r="E59" s="10">
        <v>1</v>
      </c>
      <c r="F59" s="10"/>
      <c r="G59" s="10">
        <v>2</v>
      </c>
      <c r="H59" s="10">
        <v>1</v>
      </c>
      <c r="I59" s="10">
        <v>1</v>
      </c>
      <c r="J59" s="10"/>
    </row>
    <row r="60" spans="1:10" x14ac:dyDescent="0.25">
      <c r="B60" t="s">
        <v>122</v>
      </c>
      <c r="C60" s="10"/>
      <c r="D60" s="10">
        <v>1</v>
      </c>
      <c r="E60" s="10">
        <v>3</v>
      </c>
      <c r="F60" s="10"/>
      <c r="G60" s="10"/>
      <c r="H60" s="10"/>
      <c r="I60" s="10"/>
      <c r="J60" s="10"/>
    </row>
  </sheetData>
  <pageMargins left="0.7" right="0.7" top="0.75" bottom="0.75" header="0.3" footer="0.3"/>
  <pageSetup scale="84" fitToHeight="0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F57A3-8F2C-4DC1-B37F-7ED342C08DEE}">
  <dimension ref="A1:B21"/>
  <sheetViews>
    <sheetView zoomScaleNormal="100" workbookViewId="0"/>
  </sheetViews>
  <sheetFormatPr defaultRowHeight="15" x14ac:dyDescent="0.25"/>
  <cols>
    <col min="1" max="1" width="29.28515625" customWidth="1"/>
    <col min="2" max="2" width="43.28515625" customWidth="1"/>
  </cols>
  <sheetData>
    <row r="1" spans="1:2" x14ac:dyDescent="0.25">
      <c r="A1" s="8" t="s">
        <v>188</v>
      </c>
      <c r="B1" s="8" t="s">
        <v>189</v>
      </c>
    </row>
    <row r="2" spans="1:2" x14ac:dyDescent="0.25">
      <c r="A2" s="40" t="s">
        <v>168</v>
      </c>
      <c r="B2" s="40" t="s">
        <v>311</v>
      </c>
    </row>
    <row r="3" spans="1:2" x14ac:dyDescent="0.25">
      <c r="A3" s="40" t="s">
        <v>176</v>
      </c>
      <c r="B3" s="40" t="s">
        <v>312</v>
      </c>
    </row>
    <row r="4" spans="1:2" x14ac:dyDescent="0.25">
      <c r="A4" s="40" t="s">
        <v>155</v>
      </c>
      <c r="B4" s="40" t="s">
        <v>313</v>
      </c>
    </row>
    <row r="5" spans="1:2" x14ac:dyDescent="0.25">
      <c r="A5" s="40" t="s">
        <v>177</v>
      </c>
      <c r="B5" s="40" t="s">
        <v>314</v>
      </c>
    </row>
    <row r="6" spans="1:2" ht="15.75" thickBot="1" x14ac:dyDescent="0.3">
      <c r="A6" s="41" t="s">
        <v>185</v>
      </c>
      <c r="B6" s="41" t="s">
        <v>315</v>
      </c>
    </row>
    <row r="7" spans="1:2" x14ac:dyDescent="0.25">
      <c r="A7" s="40" t="s">
        <v>180</v>
      </c>
      <c r="B7" s="40" t="s">
        <v>316</v>
      </c>
    </row>
    <row r="8" spans="1:2" x14ac:dyDescent="0.25">
      <c r="A8" s="40" t="s">
        <v>181</v>
      </c>
      <c r="B8" s="40" t="s">
        <v>317</v>
      </c>
    </row>
    <row r="9" spans="1:2" x14ac:dyDescent="0.25">
      <c r="A9" s="40" t="s">
        <v>182</v>
      </c>
      <c r="B9" s="40" t="s">
        <v>318</v>
      </c>
    </row>
    <row r="10" spans="1:2" x14ac:dyDescent="0.25">
      <c r="A10" s="40" t="s">
        <v>183</v>
      </c>
      <c r="B10" s="40" t="s">
        <v>319</v>
      </c>
    </row>
    <row r="11" spans="1:2" x14ac:dyDescent="0.25">
      <c r="A11" s="40" t="s">
        <v>184</v>
      </c>
      <c r="B11" s="40" t="s">
        <v>320</v>
      </c>
    </row>
    <row r="12" spans="1:2" x14ac:dyDescent="0.25">
      <c r="A12" s="40" t="s">
        <v>186</v>
      </c>
      <c r="B12" s="40" t="s">
        <v>321</v>
      </c>
    </row>
    <row r="13" spans="1:2" ht="15.75" thickBot="1" x14ac:dyDescent="0.3">
      <c r="A13" s="41" t="s">
        <v>178</v>
      </c>
      <c r="B13" s="41" t="s">
        <v>322</v>
      </c>
    </row>
    <row r="14" spans="1:2" x14ac:dyDescent="0.25">
      <c r="A14" s="40" t="s">
        <v>179</v>
      </c>
      <c r="B14" s="40" t="s">
        <v>323</v>
      </c>
    </row>
    <row r="15" spans="1:2" x14ac:dyDescent="0.25">
      <c r="A15" s="40" t="s">
        <v>190</v>
      </c>
      <c r="B15" s="40" t="s">
        <v>324</v>
      </c>
    </row>
    <row r="16" spans="1:2" x14ac:dyDescent="0.25">
      <c r="A16" s="40" t="s">
        <v>151</v>
      </c>
      <c r="B16" s="40" t="s">
        <v>191</v>
      </c>
    </row>
    <row r="17" spans="1:2" x14ac:dyDescent="0.25">
      <c r="A17" s="40" t="s">
        <v>133</v>
      </c>
      <c r="B17" s="40" t="s">
        <v>325</v>
      </c>
    </row>
    <row r="18" spans="1:2" x14ac:dyDescent="0.25">
      <c r="A18" s="40" t="s">
        <v>192</v>
      </c>
      <c r="B18" s="40" t="s">
        <v>137</v>
      </c>
    </row>
    <row r="19" spans="1:2" x14ac:dyDescent="0.25">
      <c r="A19" s="40" t="s">
        <v>187</v>
      </c>
      <c r="B19" s="40" t="s">
        <v>326</v>
      </c>
    </row>
    <row r="20" spans="1:2" x14ac:dyDescent="0.25">
      <c r="A20" s="40" t="s">
        <v>187</v>
      </c>
      <c r="B20" s="40" t="s">
        <v>327</v>
      </c>
    </row>
    <row r="21" spans="1:2" x14ac:dyDescent="0.25">
      <c r="A21" s="22"/>
      <c r="B21" s="22"/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84238-963F-4E6D-A5A2-1314EE811C47}">
  <dimension ref="A1:B8"/>
  <sheetViews>
    <sheetView zoomScaleNormal="100" workbookViewId="0"/>
  </sheetViews>
  <sheetFormatPr defaultRowHeight="15" x14ac:dyDescent="0.25"/>
  <cols>
    <col min="1" max="1" width="42.42578125" customWidth="1"/>
    <col min="2" max="2" width="38" customWidth="1"/>
  </cols>
  <sheetData>
    <row r="1" spans="1:2" x14ac:dyDescent="0.25">
      <c r="A1" t="s">
        <v>188</v>
      </c>
      <c r="B1" t="s">
        <v>189</v>
      </c>
    </row>
    <row r="2" spans="1:2" x14ac:dyDescent="0.25">
      <c r="A2" t="s">
        <v>236</v>
      </c>
      <c r="B2" t="s">
        <v>237</v>
      </c>
    </row>
    <row r="3" spans="1:2" x14ac:dyDescent="0.25">
      <c r="A3" t="s">
        <v>238</v>
      </c>
      <c r="B3" t="s">
        <v>239</v>
      </c>
    </row>
    <row r="4" spans="1:2" x14ac:dyDescent="0.25">
      <c r="A4" t="s">
        <v>240</v>
      </c>
      <c r="B4" t="s">
        <v>239</v>
      </c>
    </row>
    <row r="5" spans="1:2" x14ac:dyDescent="0.25">
      <c r="A5" t="s">
        <v>241</v>
      </c>
      <c r="B5" t="s">
        <v>242</v>
      </c>
    </row>
    <row r="6" spans="1:2" x14ac:dyDescent="0.25">
      <c r="A6" t="s">
        <v>243</v>
      </c>
      <c r="B6" t="s">
        <v>244</v>
      </c>
    </row>
    <row r="7" spans="1:2" x14ac:dyDescent="0.25">
      <c r="A7" t="s">
        <v>246</v>
      </c>
      <c r="B7" t="s">
        <v>245</v>
      </c>
    </row>
    <row r="8" spans="1:2" x14ac:dyDescent="0.25">
      <c r="A8" t="s">
        <v>247</v>
      </c>
      <c r="B8" t="s">
        <v>248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7D173-4BCF-4214-A5D4-10B4F2F5EE36}">
  <dimension ref="A1:C35"/>
  <sheetViews>
    <sheetView workbookViewId="0"/>
  </sheetViews>
  <sheetFormatPr defaultRowHeight="15" x14ac:dyDescent="0.25"/>
  <cols>
    <col min="1" max="1" width="36.5703125" customWidth="1"/>
    <col min="2" max="3" width="20.7109375" customWidth="1"/>
    <col min="4" max="4" width="19" customWidth="1"/>
  </cols>
  <sheetData>
    <row r="1" spans="1:3" ht="18.75" x14ac:dyDescent="0.3">
      <c r="A1" s="29" t="s">
        <v>252</v>
      </c>
      <c r="B1" s="38" t="s">
        <v>251</v>
      </c>
      <c r="C1" s="38"/>
    </row>
    <row r="2" spans="1:3" ht="18.75" x14ac:dyDescent="0.3">
      <c r="A2" s="29" t="s">
        <v>250</v>
      </c>
      <c r="B2" s="38" t="s">
        <v>249</v>
      </c>
      <c r="C2" s="38"/>
    </row>
    <row r="4" spans="1:3" ht="18.75" x14ac:dyDescent="0.3">
      <c r="A4" s="31" t="s">
        <v>188</v>
      </c>
      <c r="B4" s="32" t="s">
        <v>196</v>
      </c>
      <c r="C4" s="32" t="s">
        <v>197</v>
      </c>
    </row>
    <row r="5" spans="1:3" ht="18.75" x14ac:dyDescent="0.3">
      <c r="A5" s="37"/>
      <c r="B5" s="29"/>
      <c r="C5" s="29"/>
    </row>
    <row r="6" spans="1:3" ht="18.75" x14ac:dyDescent="0.3">
      <c r="A6" s="39" t="s">
        <v>254</v>
      </c>
      <c r="B6" s="39"/>
      <c r="C6" s="39"/>
    </row>
    <row r="7" spans="1:3" ht="18.75" x14ac:dyDescent="0.3">
      <c r="A7" s="33" t="s">
        <v>229</v>
      </c>
      <c r="B7" s="36" t="s">
        <v>227</v>
      </c>
      <c r="C7" s="34"/>
    </row>
    <row r="8" spans="1:3" ht="18.75" x14ac:dyDescent="0.3">
      <c r="A8" s="35"/>
      <c r="B8" s="30"/>
      <c r="C8" s="30"/>
    </row>
    <row r="9" spans="1:3" ht="18.75" x14ac:dyDescent="0.3">
      <c r="A9" s="33" t="s">
        <v>230</v>
      </c>
      <c r="B9" s="36">
        <v>200</v>
      </c>
      <c r="C9" s="34"/>
    </row>
    <row r="10" spans="1:3" ht="18.75" x14ac:dyDescent="0.3">
      <c r="A10" s="33" t="s">
        <v>231</v>
      </c>
      <c r="B10" s="36" t="s">
        <v>225</v>
      </c>
      <c r="C10" s="34"/>
    </row>
    <row r="11" spans="1:3" ht="18.75" x14ac:dyDescent="0.3">
      <c r="A11" s="33" t="s">
        <v>235</v>
      </c>
      <c r="B11" s="36">
        <v>200</v>
      </c>
      <c r="C11" s="34"/>
    </row>
    <row r="12" spans="1:3" ht="18.75" x14ac:dyDescent="0.3">
      <c r="A12" s="33" t="s">
        <v>232</v>
      </c>
      <c r="B12" s="36" t="s">
        <v>228</v>
      </c>
      <c r="C12" s="34"/>
    </row>
    <row r="13" spans="1:3" ht="18.75" x14ac:dyDescent="0.3">
      <c r="A13" s="35"/>
      <c r="B13" s="30"/>
      <c r="C13" s="30"/>
    </row>
    <row r="14" spans="1:3" ht="18.75" x14ac:dyDescent="0.3">
      <c r="A14" s="33" t="s">
        <v>226</v>
      </c>
      <c r="B14" s="36" t="s">
        <v>200</v>
      </c>
      <c r="C14" s="34"/>
    </row>
    <row r="15" spans="1:3" ht="18.75" x14ac:dyDescent="0.3">
      <c r="A15" s="35"/>
      <c r="B15" s="30"/>
      <c r="C15" s="30"/>
    </row>
    <row r="16" spans="1:3" ht="18.75" x14ac:dyDescent="0.3">
      <c r="A16" s="39" t="s">
        <v>253</v>
      </c>
      <c r="B16" s="39"/>
      <c r="C16" s="39"/>
    </row>
    <row r="17" spans="1:3" ht="18.75" x14ac:dyDescent="0.3">
      <c r="A17" s="33" t="s">
        <v>233</v>
      </c>
      <c r="B17" s="36" t="s">
        <v>198</v>
      </c>
      <c r="C17" s="34"/>
    </row>
    <row r="18" spans="1:3" ht="18.75" x14ac:dyDescent="0.3">
      <c r="A18" s="33" t="s">
        <v>234</v>
      </c>
      <c r="B18" s="36" t="s">
        <v>199</v>
      </c>
      <c r="C18" s="34"/>
    </row>
    <row r="19" spans="1:3" ht="18.75" x14ac:dyDescent="0.3">
      <c r="A19" s="35"/>
      <c r="B19" s="30"/>
      <c r="C19" s="30"/>
    </row>
    <row r="20" spans="1:3" ht="18.75" x14ac:dyDescent="0.3">
      <c r="A20" s="33" t="s">
        <v>201</v>
      </c>
      <c r="B20" s="36" t="s">
        <v>202</v>
      </c>
      <c r="C20" s="34"/>
    </row>
    <row r="21" spans="1:3" ht="18.75" x14ac:dyDescent="0.3">
      <c r="A21" s="33" t="s">
        <v>203</v>
      </c>
      <c r="B21" s="36" t="s">
        <v>202</v>
      </c>
      <c r="C21" s="34"/>
    </row>
    <row r="22" spans="1:3" ht="18.75" x14ac:dyDescent="0.3">
      <c r="A22" s="33" t="s">
        <v>204</v>
      </c>
      <c r="B22" s="36" t="s">
        <v>206</v>
      </c>
      <c r="C22" s="34"/>
    </row>
    <row r="23" spans="1:3" ht="18.75" x14ac:dyDescent="0.3">
      <c r="A23" s="33" t="s">
        <v>205</v>
      </c>
      <c r="B23" s="36" t="s">
        <v>208</v>
      </c>
      <c r="C23" s="34"/>
    </row>
    <row r="24" spans="1:3" ht="18.75" x14ac:dyDescent="0.3">
      <c r="A24" s="33" t="s">
        <v>207</v>
      </c>
      <c r="B24" s="36" t="s">
        <v>210</v>
      </c>
      <c r="C24" s="34"/>
    </row>
    <row r="25" spans="1:3" ht="18.75" x14ac:dyDescent="0.3">
      <c r="A25" s="33" t="s">
        <v>209</v>
      </c>
      <c r="B25" s="36" t="s">
        <v>212</v>
      </c>
      <c r="C25" s="34"/>
    </row>
    <row r="26" spans="1:3" ht="18.75" x14ac:dyDescent="0.3">
      <c r="A26" s="33" t="s">
        <v>211</v>
      </c>
      <c r="B26" s="36" t="s">
        <v>214</v>
      </c>
      <c r="C26" s="34"/>
    </row>
    <row r="27" spans="1:3" ht="18.75" x14ac:dyDescent="0.3">
      <c r="A27" s="33" t="s">
        <v>213</v>
      </c>
      <c r="B27" s="36" t="s">
        <v>214</v>
      </c>
      <c r="C27" s="34"/>
    </row>
    <row r="28" spans="1:3" ht="18.75" x14ac:dyDescent="0.3">
      <c r="A28" s="33" t="s">
        <v>215</v>
      </c>
      <c r="B28" s="36" t="s">
        <v>217</v>
      </c>
      <c r="C28" s="34"/>
    </row>
    <row r="29" spans="1:3" ht="18.75" x14ac:dyDescent="0.3">
      <c r="A29" s="33" t="s">
        <v>216</v>
      </c>
      <c r="B29" s="36" t="s">
        <v>217</v>
      </c>
      <c r="C29" s="34"/>
    </row>
    <row r="30" spans="1:3" ht="18.75" x14ac:dyDescent="0.3">
      <c r="A30" s="33" t="s">
        <v>218</v>
      </c>
      <c r="B30" s="36" t="s">
        <v>217</v>
      </c>
      <c r="C30" s="34"/>
    </row>
    <row r="31" spans="1:3" ht="18.75" x14ac:dyDescent="0.3">
      <c r="A31" s="33" t="s">
        <v>219</v>
      </c>
      <c r="B31" s="36" t="s">
        <v>221</v>
      </c>
      <c r="C31" s="34"/>
    </row>
    <row r="32" spans="1:3" ht="18.75" x14ac:dyDescent="0.3">
      <c r="A32" s="33" t="s">
        <v>220</v>
      </c>
      <c r="B32" s="36" t="s">
        <v>221</v>
      </c>
      <c r="C32" s="34"/>
    </row>
    <row r="33" spans="1:3" ht="18.75" x14ac:dyDescent="0.3">
      <c r="A33" s="33" t="s">
        <v>222</v>
      </c>
      <c r="B33" s="36" t="s">
        <v>221</v>
      </c>
      <c r="C33" s="34"/>
    </row>
    <row r="34" spans="1:3" ht="18.75" x14ac:dyDescent="0.3">
      <c r="A34" s="33" t="s">
        <v>223</v>
      </c>
      <c r="B34" s="36" t="s">
        <v>221</v>
      </c>
      <c r="C34" s="34"/>
    </row>
    <row r="35" spans="1:3" ht="18.75" x14ac:dyDescent="0.3">
      <c r="A35" s="33" t="s">
        <v>224</v>
      </c>
      <c r="B35" s="36" t="s">
        <v>221</v>
      </c>
      <c r="C35" s="34"/>
    </row>
  </sheetData>
  <mergeCells count="4">
    <mergeCell ref="B1:C1"/>
    <mergeCell ref="B2:C2"/>
    <mergeCell ref="A6:C6"/>
    <mergeCell ref="A16:C16"/>
  </mergeCells>
  <printOptions horizontalCentered="1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Class BOM</vt:lpstr>
      <vt:lpstr>Build Steps</vt:lpstr>
      <vt:lpstr>Parts by Lab</vt:lpstr>
      <vt:lpstr>Kit Parts List</vt:lpstr>
      <vt:lpstr>Team Parts List</vt:lpstr>
      <vt:lpstr>Measurement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MSN Biersach</dc:creator>
  <cp:lastModifiedBy>David MSN Biersach</cp:lastModifiedBy>
  <cp:lastPrinted>2022-12-30T04:49:22Z</cp:lastPrinted>
  <dcterms:created xsi:type="dcterms:W3CDTF">2022-08-21T15:40:42Z</dcterms:created>
  <dcterms:modified xsi:type="dcterms:W3CDTF">2023-01-08T07:32:37Z</dcterms:modified>
</cp:coreProperties>
</file>